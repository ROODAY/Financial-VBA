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assignment\"/>
    </mc:Choice>
  </mc:AlternateContent>
  <xr:revisionPtr revIDLastSave="0" documentId="13_ncr:1_{16804D5C-C853-43FA-97CA-FF598FB44E88}" xr6:coauthVersionLast="41" xr6:coauthVersionMax="41" xr10:uidLastSave="{00000000-0000-0000-0000-000000000000}"/>
  <bookViews>
    <workbookView xWindow="-98" yWindow="-98" windowWidth="22695" windowHeight="15196" activeTab="1" xr2:uid="{C3FE3146-7FD9-4C83-A548-7D51279DB8F7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9" i="1" l="1"/>
  <c r="P8" i="1"/>
  <c r="P7" i="1"/>
  <c r="P6" i="1"/>
  <c r="P5" i="1"/>
  <c r="P4" i="1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D4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2" i="1"/>
  <c r="N6" i="1" a="1"/>
  <c r="J4" i="1" a="1"/>
  <c r="H3" i="1" a="1"/>
  <c r="L5" i="1" a="1"/>
  <c r="F2" i="1" a="1"/>
  <c r="I6" i="1" l="1"/>
  <c r="I10" i="1"/>
  <c r="I14" i="1"/>
  <c r="I18" i="1"/>
  <c r="I22" i="1"/>
  <c r="I26" i="1"/>
  <c r="I30" i="1"/>
  <c r="I34" i="1"/>
  <c r="I38" i="1"/>
  <c r="I5" i="1"/>
  <c r="I17" i="1"/>
  <c r="I25" i="1"/>
  <c r="I37" i="1"/>
  <c r="I7" i="1"/>
  <c r="I11" i="1"/>
  <c r="I15" i="1"/>
  <c r="I19" i="1"/>
  <c r="I23" i="1"/>
  <c r="I27" i="1"/>
  <c r="I31" i="1"/>
  <c r="I35" i="1"/>
  <c r="I39" i="1"/>
  <c r="I9" i="1"/>
  <c r="I21" i="1"/>
  <c r="I33" i="1"/>
  <c r="I4" i="1"/>
  <c r="I8" i="1"/>
  <c r="I12" i="1"/>
  <c r="I16" i="1"/>
  <c r="I20" i="1"/>
  <c r="I24" i="1"/>
  <c r="I28" i="1"/>
  <c r="I32" i="1"/>
  <c r="I36" i="1"/>
  <c r="I40" i="1"/>
  <c r="I13" i="1"/>
  <c r="I29" i="1"/>
  <c r="I41" i="1"/>
  <c r="I3" i="1"/>
  <c r="M8" i="1"/>
  <c r="M12" i="1"/>
  <c r="M16" i="1"/>
  <c r="M20" i="1"/>
  <c r="M24" i="1"/>
  <c r="M28" i="1"/>
  <c r="M32" i="1"/>
  <c r="M36" i="1"/>
  <c r="M40" i="1"/>
  <c r="M7" i="1"/>
  <c r="M15" i="1"/>
  <c r="M27" i="1"/>
  <c r="M39" i="1"/>
  <c r="M9" i="1"/>
  <c r="M13" i="1"/>
  <c r="M17" i="1"/>
  <c r="M21" i="1"/>
  <c r="M25" i="1"/>
  <c r="M29" i="1"/>
  <c r="M33" i="1"/>
  <c r="M37" i="1"/>
  <c r="M41" i="1"/>
  <c r="M23" i="1"/>
  <c r="M35" i="1"/>
  <c r="M5" i="1"/>
  <c r="M6" i="1"/>
  <c r="M10" i="1"/>
  <c r="M14" i="1"/>
  <c r="M18" i="1"/>
  <c r="M22" i="1"/>
  <c r="M26" i="1"/>
  <c r="M30" i="1"/>
  <c r="M34" i="1"/>
  <c r="M38" i="1"/>
  <c r="M11" i="1"/>
  <c r="M19" i="1"/>
  <c r="M31" i="1"/>
  <c r="O8" i="1"/>
  <c r="O12" i="1"/>
  <c r="O16" i="1"/>
  <c r="O20" i="1"/>
  <c r="O24" i="1"/>
  <c r="O28" i="1"/>
  <c r="O32" i="1"/>
  <c r="O36" i="1"/>
  <c r="O40" i="1"/>
  <c r="O11" i="1"/>
  <c r="O19" i="1"/>
  <c r="O31" i="1"/>
  <c r="O9" i="1"/>
  <c r="O13" i="1"/>
  <c r="O17" i="1"/>
  <c r="O21" i="1"/>
  <c r="O25" i="1"/>
  <c r="O29" i="1"/>
  <c r="O33" i="1"/>
  <c r="O37" i="1"/>
  <c r="O41" i="1"/>
  <c r="O6" i="1"/>
  <c r="O15" i="1"/>
  <c r="O27" i="1"/>
  <c r="O39" i="1"/>
  <c r="O10" i="1"/>
  <c r="O14" i="1"/>
  <c r="O18" i="1"/>
  <c r="O22" i="1"/>
  <c r="O26" i="1"/>
  <c r="O30" i="1"/>
  <c r="O34" i="1"/>
  <c r="O38" i="1"/>
  <c r="O7" i="1"/>
  <c r="O23" i="1"/>
  <c r="O35" i="1"/>
  <c r="K6" i="1"/>
  <c r="K10" i="1"/>
  <c r="K14" i="1"/>
  <c r="K18" i="1"/>
  <c r="K22" i="1"/>
  <c r="K26" i="1"/>
  <c r="K30" i="1"/>
  <c r="K34" i="1"/>
  <c r="K38" i="1"/>
  <c r="K21" i="1"/>
  <c r="K37" i="1"/>
  <c r="K7" i="1"/>
  <c r="K11" i="1"/>
  <c r="K15" i="1"/>
  <c r="K19" i="1"/>
  <c r="K23" i="1"/>
  <c r="K27" i="1"/>
  <c r="K31" i="1"/>
  <c r="K35" i="1"/>
  <c r="K39" i="1"/>
  <c r="K4" i="1"/>
  <c r="K13" i="1"/>
  <c r="K29" i="1"/>
  <c r="K8" i="1"/>
  <c r="K12" i="1"/>
  <c r="K16" i="1"/>
  <c r="K20" i="1"/>
  <c r="K24" i="1"/>
  <c r="K28" i="1"/>
  <c r="K32" i="1"/>
  <c r="K36" i="1"/>
  <c r="K40" i="1"/>
  <c r="K5" i="1"/>
  <c r="K9" i="1"/>
  <c r="K17" i="1"/>
  <c r="K25" i="1"/>
  <c r="K33" i="1"/>
  <c r="K41" i="1"/>
  <c r="L6" i="1"/>
  <c r="L22" i="1"/>
  <c r="L38" i="1"/>
  <c r="L9" i="1"/>
  <c r="L7" i="1"/>
  <c r="L23" i="1"/>
  <c r="L39" i="1"/>
  <c r="L24" i="1"/>
  <c r="L25" i="1"/>
  <c r="L33" i="1"/>
  <c r="L18" i="1"/>
  <c r="L34" i="1"/>
  <c r="L36" i="1"/>
  <c r="L41" i="1"/>
  <c r="L35" i="1"/>
  <c r="L16" i="1"/>
  <c r="L13" i="1"/>
  <c r="L17" i="1"/>
  <c r="L10" i="1"/>
  <c r="L26" i="1"/>
  <c r="L20" i="1"/>
  <c r="L21" i="1"/>
  <c r="L11" i="1"/>
  <c r="L27" i="1"/>
  <c r="L8" i="1"/>
  <c r="L32" i="1"/>
  <c r="L37" i="1"/>
  <c r="L19" i="1"/>
  <c r="L14" i="1"/>
  <c r="L30" i="1"/>
  <c r="L28" i="1"/>
  <c r="L29" i="1"/>
  <c r="L15" i="1"/>
  <c r="L31" i="1"/>
  <c r="L12" i="1"/>
  <c r="L40" i="1"/>
  <c r="L5" i="1"/>
  <c r="H14" i="1"/>
  <c r="H30" i="1"/>
  <c r="H7" i="1"/>
  <c r="H23" i="1"/>
  <c r="H39" i="1"/>
  <c r="H29" i="1"/>
  <c r="H12" i="1"/>
  <c r="H28" i="1"/>
  <c r="H9" i="1"/>
  <c r="H41" i="1"/>
  <c r="H10" i="1"/>
  <c r="H3" i="1"/>
  <c r="H35" i="1"/>
  <c r="H8" i="1"/>
  <c r="H40" i="1"/>
  <c r="H18" i="1"/>
  <c r="H34" i="1"/>
  <c r="H11" i="1"/>
  <c r="H27" i="1"/>
  <c r="H5" i="1"/>
  <c r="H37" i="1"/>
  <c r="H16" i="1"/>
  <c r="H32" i="1"/>
  <c r="H17" i="1"/>
  <c r="H26" i="1"/>
  <c r="H19" i="1"/>
  <c r="H21" i="1"/>
  <c r="H24" i="1"/>
  <c r="H33" i="1"/>
  <c r="H6" i="1"/>
  <c r="H22" i="1"/>
  <c r="H38" i="1"/>
  <c r="H15" i="1"/>
  <c r="H31" i="1"/>
  <c r="H13" i="1"/>
  <c r="H4" i="1"/>
  <c r="H20" i="1"/>
  <c r="H36" i="1"/>
  <c r="H25" i="1"/>
  <c r="J12" i="1"/>
  <c r="J28" i="1"/>
  <c r="J11" i="1"/>
  <c r="J5" i="1"/>
  <c r="J21" i="1"/>
  <c r="J37" i="1"/>
  <c r="J14" i="1"/>
  <c r="J30" i="1"/>
  <c r="J15" i="1"/>
  <c r="J8" i="1"/>
  <c r="J40" i="1"/>
  <c r="J35" i="1"/>
  <c r="J33" i="1"/>
  <c r="J10" i="1"/>
  <c r="J7" i="1"/>
  <c r="J39" i="1"/>
  <c r="J16" i="1"/>
  <c r="J32" i="1"/>
  <c r="J19" i="1"/>
  <c r="J9" i="1"/>
  <c r="J25" i="1"/>
  <c r="J41" i="1"/>
  <c r="J18" i="1"/>
  <c r="J34" i="1"/>
  <c r="J23" i="1"/>
  <c r="J24" i="1"/>
  <c r="J17" i="1"/>
  <c r="J26" i="1"/>
  <c r="J4" i="1"/>
  <c r="J20" i="1"/>
  <c r="J36" i="1"/>
  <c r="J27" i="1"/>
  <c r="J13" i="1"/>
  <c r="J29" i="1"/>
  <c r="J6" i="1"/>
  <c r="J22" i="1"/>
  <c r="J38" i="1"/>
  <c r="J31" i="1"/>
  <c r="N8" i="1"/>
  <c r="N24" i="1"/>
  <c r="N40" i="1"/>
  <c r="N21" i="1"/>
  <c r="N37" i="1"/>
  <c r="N23" i="1"/>
  <c r="N14" i="1"/>
  <c r="N30" i="1"/>
  <c r="N19" i="1"/>
  <c r="N36" i="1"/>
  <c r="N33" i="1"/>
  <c r="N15" i="1"/>
  <c r="N10" i="1"/>
  <c r="N26" i="1"/>
  <c r="N11" i="1"/>
  <c r="N39" i="1"/>
  <c r="N12" i="1"/>
  <c r="N28" i="1"/>
  <c r="N9" i="1"/>
  <c r="N25" i="1"/>
  <c r="N41" i="1"/>
  <c r="N31" i="1"/>
  <c r="N18" i="1"/>
  <c r="N34" i="1"/>
  <c r="N27" i="1"/>
  <c r="N17" i="1"/>
  <c r="N16" i="1"/>
  <c r="N32" i="1"/>
  <c r="N13" i="1"/>
  <c r="N29" i="1"/>
  <c r="N7" i="1"/>
  <c r="N6" i="1"/>
  <c r="N22" i="1"/>
  <c r="N38" i="1"/>
  <c r="N35" i="1"/>
  <c r="N20" i="1"/>
  <c r="G4" i="1"/>
  <c r="G8" i="1"/>
  <c r="G12" i="1"/>
  <c r="G16" i="1"/>
  <c r="G20" i="1"/>
  <c r="G24" i="1"/>
  <c r="G28" i="1"/>
  <c r="G32" i="1"/>
  <c r="G36" i="1"/>
  <c r="G40" i="1"/>
  <c r="G10" i="1"/>
  <c r="G18" i="1"/>
  <c r="G26" i="1"/>
  <c r="G34" i="1"/>
  <c r="G38" i="1"/>
  <c r="G19" i="1"/>
  <c r="G31" i="1"/>
  <c r="G5" i="1"/>
  <c r="G9" i="1"/>
  <c r="G13" i="1"/>
  <c r="G17" i="1"/>
  <c r="G21" i="1"/>
  <c r="G25" i="1"/>
  <c r="G29" i="1"/>
  <c r="G33" i="1"/>
  <c r="G37" i="1"/>
  <c r="G41" i="1"/>
  <c r="G6" i="1"/>
  <c r="G14" i="1"/>
  <c r="G22" i="1"/>
  <c r="G30" i="1"/>
  <c r="G3" i="1"/>
  <c r="G7" i="1"/>
  <c r="G11" i="1"/>
  <c r="G23" i="1"/>
  <c r="G27" i="1"/>
  <c r="G35" i="1"/>
  <c r="G2" i="1"/>
  <c r="G15" i="1"/>
  <c r="G39" i="1"/>
  <c r="F4" i="1"/>
  <c r="F20" i="1"/>
  <c r="F36" i="1"/>
  <c r="F25" i="1"/>
  <c r="F10" i="1"/>
  <c r="F3" i="1"/>
  <c r="F35" i="1"/>
  <c r="F29" i="1"/>
  <c r="F22" i="1"/>
  <c r="F15" i="1"/>
  <c r="F12" i="1"/>
  <c r="F37" i="1"/>
  <c r="F19" i="1"/>
  <c r="F2" i="1"/>
  <c r="F31" i="1"/>
  <c r="F32" i="1"/>
  <c r="F34" i="1"/>
  <c r="F17" i="1"/>
  <c r="F7" i="1"/>
  <c r="F8" i="1"/>
  <c r="F24" i="1"/>
  <c r="F40" i="1"/>
  <c r="F33" i="1"/>
  <c r="F18" i="1"/>
  <c r="F11" i="1"/>
  <c r="F9" i="1"/>
  <c r="F41" i="1"/>
  <c r="F30" i="1"/>
  <c r="F23" i="1"/>
  <c r="F28" i="1"/>
  <c r="F5" i="1"/>
  <c r="F26" i="1"/>
  <c r="F13" i="1"/>
  <c r="F38" i="1"/>
  <c r="F16" i="1"/>
  <c r="F21" i="1"/>
  <c r="F6" i="1"/>
  <c r="F27" i="1"/>
  <c r="F14" i="1"/>
  <c r="F39" i="1"/>
  <c r="P3" i="1"/>
  <c r="P2" i="1"/>
</calcChain>
</file>

<file path=xl/sharedStrings.xml><?xml version="1.0" encoding="utf-8"?>
<sst xmlns="http://schemas.openxmlformats.org/spreadsheetml/2006/main" count="62" uniqueCount="58">
  <si>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</si>
  <si>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</si>
  <si>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</si>
  <si>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</si>
  <si>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</si>
  <si>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</si>
  <si>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</si>
  <si>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</si>
  <si>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</si>
  <si>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</si>
  <si>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</si>
  <si>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</si>
  <si>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</si>
  <si>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</si>
  <si>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</si>
  <si>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</si>
  <si>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</si>
  <si>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</si>
  <si>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</si>
  <si>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</si>
  <si>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</si>
  <si>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</si>
  <si>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</si>
  <si>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</si>
  <si>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</si>
  <si>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</si>
  <si>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</si>
  <si>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</si>
  <si>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</si>
  <si>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</si>
  <si>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</si>
  <si>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</si>
  <si>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</si>
  <si>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</si>
  <si>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</si>
  <si>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</si>
  <si>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</si>
  <si>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</si>
  <si>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</si>
  <si>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</si>
  <si>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</si>
  <si>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</si>
  <si>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</si>
  <si>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Value Month</t>
  </si>
  <si>
    <t>LULU</t>
  </si>
  <si>
    <t>DIS</t>
  </si>
  <si>
    <t>TGT</t>
  </si>
  <si>
    <t>FIZZ</t>
  </si>
  <si>
    <t>MSFT</t>
  </si>
  <si>
    <t>XOM</t>
  </si>
  <si>
    <t>V</t>
  </si>
  <si>
    <t>5Y Range</t>
  </si>
  <si>
    <t>1/1/14 - 1/1/19</t>
  </si>
  <si>
    <t>Week</t>
  </si>
  <si>
    <t>Forward LIBOR</t>
  </si>
  <si>
    <t>Actual Days</t>
  </si>
  <si>
    <t>Day: Friday, 15 Mar 2019</t>
  </si>
  <si>
    <t>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</si>
</sst>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6" formatCode="yyyy\-mm\-dd;@"/>
    <numFmt numFmtId="171" formatCode="0.000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6" fontId="0" fillId="0" borderId="0" xfId="0" applyNumberFormat="1" applyAlignment="1">
      <alignment horizontal="right" wrapText="1"/>
    </xf>
    <xf numFmtId="171" fontId="0" fillId="0" borderId="0" xfId="0" applyNumberFormat="1"/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1" fillId="0" borderId="0" xfId="0" applyFont="1"/>
    <xf numFmtId="15" fontId="1" fillId="0" borderId="0" xfId="0" applyNumberFormat="1" applyFont="1"/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P48"/>
  <sheetViews>
    <sheetView workbookViewId="0">
      <selection activeCell="A38" sqref="A38"/>
    </sheetView>
  </sheetViews>
  <sheetFormatPr defaultRowHeight="14.25" x14ac:dyDescent="0.45"/>
  <cols>
    <col min="1" max="1" width="21.33203125" bestFit="1" customWidth="1"/>
    <col min="2" max="2" width="15.06640625" bestFit="1" customWidth="1"/>
    <col min="3" max="3" width="14.3984375" bestFit="1" customWidth="1"/>
    <col min="4" max="4" width="12.3984375" bestFit="1" customWidth="1"/>
    <col min="5" max="5" width="9.9296875" bestFit="1" customWidth="1"/>
    <col min="6" max="6" width="9.19921875" bestFit="1" customWidth="1"/>
    <col min="7" max="7" width="8.53125" bestFit="1" customWidth="1"/>
    <col min="8" max="8" width="8.73046875" bestFit="1" customWidth="1"/>
    <col min="9" max="9" width="8.86328125" bestFit="1" customWidth="1"/>
    <col min="10" max="10" width="9.19921875" bestFit="1" customWidth="1"/>
  </cols>
  <sheetData>
    <row r="1" spans="1:16" s="11" customFormat="1" x14ac:dyDescent="0.45">
      <c r="A1" s="9" t="s">
        <v>43</v>
      </c>
      <c r="B1" s="10" t="s">
        <v>42</v>
      </c>
      <c r="C1" s="9" t="s">
        <v>41</v>
      </c>
      <c r="D1" s="11" t="s">
        <v>54</v>
      </c>
      <c r="E1" s="11" t="s">
        <v>55</v>
      </c>
      <c r="F1" s="12">
        <v>43542</v>
      </c>
      <c r="G1" s="11" t="s">
        <v>57</v>
      </c>
      <c r="H1" s="12">
        <v>43633</v>
      </c>
      <c r="I1" s="11" t="s">
        <v>57</v>
      </c>
      <c r="J1" s="12">
        <v>43724</v>
      </c>
      <c r="K1" s="11" t="s">
        <v>57</v>
      </c>
      <c r="L1" s="12">
        <v>43815</v>
      </c>
      <c r="M1" s="11" t="s">
        <v>57</v>
      </c>
      <c r="N1" s="12">
        <v>43906</v>
      </c>
      <c r="O1" s="11" t="s">
        <v>57</v>
      </c>
    </row>
    <row r="2" spans="1:16" x14ac:dyDescent="0.45">
      <c r="A2" s="3">
        <v>43543</v>
      </c>
      <c r="B2" s="2">
        <v>97.377499999999998</v>
      </c>
      <c r="C2" s="7" t="s">
        <v>0</v>
      </c>
      <c r="D2" s="8">
        <f>(100 -$B2)/100</f>
        <v>2.6225000000000023E-2</v>
      </c>
      <c r="E2">
        <f>$C3-C2</f>
        <v>91</v>
      </c>
      <c r="F2" s="8">
        <f t="array" ref="F2:F41">GetTermStructure(D2:D41,E2:E41)</f>
        <v>2.6225000000000186E-2</v>
      </c>
      <c r="G2">
        <f>SUM($E$2:$E2)</f>
        <v>91</v>
      </c>
      <c r="P2">
        <f>GetSwapRate(1,$F$2:$F$41,$G$2:$G$41)</f>
        <v>2.6067427359136516E-2</v>
      </c>
    </row>
    <row r="3" spans="1:16" x14ac:dyDescent="0.45">
      <c r="A3" s="3">
        <v>43635</v>
      </c>
      <c r="B3" s="2">
        <v>97.4</v>
      </c>
      <c r="C3" s="7" t="s">
        <v>1</v>
      </c>
      <c r="D3" s="8">
        <f t="shared" ref="D3:D41" si="0">(100 -$B3)/100</f>
        <v>2.5999999999999943E-2</v>
      </c>
      <c r="E3">
        <f>$C4-C3</f>
        <v>91</v>
      </c>
      <c r="F3" s="8">
        <v>2.6198678263889021E-2</v>
      </c>
      <c r="G3">
        <f>SUM($E$2:$E3)</f>
        <v>182</v>
      </c>
      <c r="H3" s="8">
        <f t="array" ref="H3:H41">GetTermStructure(D3:D41,E3:E41)</f>
        <v>2.5999999999999919E-2</v>
      </c>
      <c r="I3">
        <f>SUM($E$3:$E3)</f>
        <v>91</v>
      </c>
      <c r="P3">
        <f>GetSwapRate(2,$F$2:$F$41,$G$2:$G$41)</f>
        <v>2.5232962357055272E-2</v>
      </c>
    </row>
    <row r="4" spans="1:16" x14ac:dyDescent="0.45">
      <c r="A4" s="3">
        <v>43727</v>
      </c>
      <c r="B4" s="2">
        <v>97.42</v>
      </c>
      <c r="C4" s="7" t="s">
        <v>2</v>
      </c>
      <c r="D4" s="8">
        <f t="shared" si="0"/>
        <v>2.5799999999999983E-2</v>
      </c>
      <c r="E4">
        <f t="shared" ref="E4:E41" si="1">$C5-C4</f>
        <v>91</v>
      </c>
      <c r="F4" s="8">
        <v>2.6179691540422309E-2</v>
      </c>
      <c r="G4">
        <f>SUM($E$2:$E4)</f>
        <v>273</v>
      </c>
      <c r="H4" s="8">
        <v>2.5984781666666627E-2</v>
      </c>
      <c r="I4">
        <f>SUM($E$3:$E4)</f>
        <v>182</v>
      </c>
      <c r="J4" s="8">
        <f t="array" ref="J4:J41">GetTermStructure(D4:D41,E4:E41)</f>
        <v>2.5800000000000364E-2</v>
      </c>
      <c r="K4">
        <f>SUM($E$4:$E4)</f>
        <v>91</v>
      </c>
      <c r="P4">
        <f>GetSwapRate(3,$F$2:$F$41,$G$2:$G$41)</f>
        <v>2.4650988516653639E-2</v>
      </c>
    </row>
    <row r="5" spans="1:16" x14ac:dyDescent="0.45">
      <c r="A5" s="3">
        <v>43818</v>
      </c>
      <c r="B5" s="2">
        <v>97.41</v>
      </c>
      <c r="C5" s="7" t="s">
        <v>3</v>
      </c>
      <c r="D5" s="8">
        <f t="shared" si="0"/>
        <v>2.5900000000000034E-2</v>
      </c>
      <c r="E5">
        <f t="shared" si="1"/>
        <v>91</v>
      </c>
      <c r="F5" s="8">
        <v>2.6238316394882569E-2</v>
      </c>
      <c r="G5">
        <f>SUM($E$2:$E5)</f>
        <v>364</v>
      </c>
      <c r="H5" s="8">
        <v>2.6069935059092882E-2</v>
      </c>
      <c r="I5">
        <f>SUM($E$3:$E5)</f>
        <v>273</v>
      </c>
      <c r="J5" s="8">
        <v>2.5934455583333436E-2</v>
      </c>
      <c r="K5">
        <f>SUM($E$4:$E5)</f>
        <v>182</v>
      </c>
      <c r="L5" s="8">
        <f t="array" ref="L5:L41">GetTermStructure(D5:D41,E5:E41)</f>
        <v>2.5899999999999701E-2</v>
      </c>
      <c r="M5">
        <f>SUM($E$5:$E5)</f>
        <v>91</v>
      </c>
      <c r="P5">
        <f>GetSwapRate(4,$F$2:$F$41,$G$2:$G$41)</f>
        <v>2.447535407147975E-2</v>
      </c>
    </row>
    <row r="6" spans="1:16" x14ac:dyDescent="0.45">
      <c r="A6" s="3">
        <v>43544</v>
      </c>
      <c r="B6" s="2">
        <v>97.495000000000005</v>
      </c>
      <c r="C6" s="7" t="s">
        <v>4</v>
      </c>
      <c r="D6" s="8">
        <f t="shared" si="0"/>
        <v>2.5049999999999954E-2</v>
      </c>
      <c r="E6">
        <f t="shared" si="1"/>
        <v>91</v>
      </c>
      <c r="F6" s="8">
        <v>2.6133567680657034E-2</v>
      </c>
      <c r="G6">
        <f>SUM($E$2:$E6)</f>
        <v>455</v>
      </c>
      <c r="H6" s="8">
        <v>2.5938759045286162E-2</v>
      </c>
      <c r="I6">
        <f>SUM($E$3:$E6)</f>
        <v>364</v>
      </c>
      <c r="J6" s="8">
        <v>2.574911647819465E-2</v>
      </c>
      <c r="K6">
        <f>SUM($E$4:$E6)</f>
        <v>273</v>
      </c>
      <c r="L6" s="8">
        <v>2.5557000479166727E-2</v>
      </c>
      <c r="M6">
        <f>SUM($E$5:$E6)</f>
        <v>182</v>
      </c>
      <c r="N6" s="8">
        <f t="array" ref="N6:N41">GetTermStructure(D6:D41,E6:E41)</f>
        <v>2.5050000000000062E-2</v>
      </c>
      <c r="O6">
        <f>SUM($E$6:$E6)</f>
        <v>91</v>
      </c>
      <c r="P6">
        <f>GetSwapRate(5,$F$2:$F$41,$G$2:$G$41)</f>
        <v>2.4585271146744123E-2</v>
      </c>
    </row>
    <row r="7" spans="1:16" x14ac:dyDescent="0.45">
      <c r="A7" s="3">
        <v>43636</v>
      </c>
      <c r="B7" s="2">
        <v>97.555000000000007</v>
      </c>
      <c r="C7" s="7" t="s">
        <v>5</v>
      </c>
      <c r="D7" s="8">
        <f t="shared" si="0"/>
        <v>2.444999999999993E-2</v>
      </c>
      <c r="E7">
        <f t="shared" si="1"/>
        <v>91</v>
      </c>
      <c r="F7" s="8">
        <v>2.5987570014924993E-2</v>
      </c>
      <c r="G7">
        <f>SUM($E$2:$E7)</f>
        <v>546</v>
      </c>
      <c r="H7" s="8">
        <v>2.5769257107201682E-2</v>
      </c>
      <c r="I7">
        <f>SUM($E$3:$E7)</f>
        <v>455</v>
      </c>
      <c r="J7" s="8">
        <v>2.55436925601213E-2</v>
      </c>
      <c r="K7">
        <f>SUM($E$4:$E7)</f>
        <v>364</v>
      </c>
      <c r="L7" s="8">
        <v>2.5293302260585356E-2</v>
      </c>
      <c r="M7">
        <f>SUM($E$5:$E7)</f>
        <v>273</v>
      </c>
      <c r="N7" s="8">
        <v>2.4827409718750051E-2</v>
      </c>
      <c r="O7">
        <f>SUM($E$6:$E7)</f>
        <v>182</v>
      </c>
      <c r="P7">
        <f>GetSwapRate(6,$F$2:$F$41,$G$2:$G$41)</f>
        <v>2.4889375744425693E-2</v>
      </c>
    </row>
    <row r="8" spans="1:16" x14ac:dyDescent="0.45">
      <c r="A8" s="3">
        <v>43728</v>
      </c>
      <c r="B8" s="2">
        <v>97.61</v>
      </c>
      <c r="C8" s="7" t="s">
        <v>6</v>
      </c>
      <c r="D8" s="8">
        <f t="shared" si="0"/>
        <v>2.3900000000000005E-2</v>
      </c>
      <c r="E8">
        <f t="shared" si="1"/>
        <v>91</v>
      </c>
      <c r="F8" s="8">
        <v>2.5823918027139129E-2</v>
      </c>
      <c r="G8">
        <f>SUM($E$2:$E8)</f>
        <v>637</v>
      </c>
      <c r="H8" s="8">
        <v>2.5587449342303371E-2</v>
      </c>
      <c r="I8">
        <f>SUM($E$3:$E8)</f>
        <v>546</v>
      </c>
      <c r="J8" s="8">
        <v>2.5338409552428103E-2</v>
      </c>
      <c r="K8">
        <f>SUM($E$4:$E8)</f>
        <v>455</v>
      </c>
      <c r="L8" s="8">
        <v>2.5059581701869359E-2</v>
      </c>
      <c r="M8">
        <f>SUM($E$5:$E8)</f>
        <v>364</v>
      </c>
      <c r="N8" s="8">
        <v>2.461826783730978E-2</v>
      </c>
      <c r="O8">
        <f>SUM($E$6:$E8)</f>
        <v>273</v>
      </c>
      <c r="P8">
        <f>GetSwapRate(7,$F$2:$F$41,$G$2:$G$41)</f>
        <v>2.5285218404650787E-2</v>
      </c>
    </row>
    <row r="9" spans="1:16" x14ac:dyDescent="0.45">
      <c r="A9" s="3">
        <v>43819</v>
      </c>
      <c r="B9" s="2">
        <v>97.62</v>
      </c>
      <c r="C9" s="7" t="s">
        <v>7</v>
      </c>
      <c r="D9" s="8">
        <f t="shared" si="0"/>
        <v>2.3799999999999953E-2</v>
      </c>
      <c r="E9">
        <f t="shared" si="1"/>
        <v>91</v>
      </c>
      <c r="F9" s="8">
        <v>2.5706867888900264E-2</v>
      </c>
      <c r="G9">
        <f>SUM($E$2:$E9)</f>
        <v>728</v>
      </c>
      <c r="H9" s="8">
        <v>2.5464045383368428E-2</v>
      </c>
      <c r="I9">
        <f>SUM($E$3:$E9)</f>
        <v>637</v>
      </c>
      <c r="J9" s="8">
        <v>2.5209040199728534E-2</v>
      </c>
      <c r="K9">
        <f>SUM($E$4:$E9)</f>
        <v>546</v>
      </c>
      <c r="L9" s="8">
        <v>2.4928274343828525E-2</v>
      </c>
      <c r="M9">
        <f>SUM($E$5:$E9)</f>
        <v>455</v>
      </c>
      <c r="N9" s="8">
        <v>2.4524780553986578E-2</v>
      </c>
      <c r="O9">
        <f>SUM($E$6:$E9)</f>
        <v>364</v>
      </c>
      <c r="P9">
        <f>GetSwapRate(8,$F$2:$F$41,$G$2:$G$41)</f>
        <v>2.5678520146274877E-2</v>
      </c>
    </row>
    <row r="10" spans="1:16" x14ac:dyDescent="0.45">
      <c r="A10" s="3">
        <v>43545</v>
      </c>
      <c r="B10" s="2">
        <v>97.66</v>
      </c>
      <c r="C10" s="7" t="s">
        <v>8</v>
      </c>
      <c r="D10" s="8">
        <f t="shared" si="0"/>
        <v>2.3400000000000035E-2</v>
      </c>
      <c r="E10">
        <f t="shared" si="1"/>
        <v>91</v>
      </c>
      <c r="F10" s="8">
        <v>2.5585710233300581E-2</v>
      </c>
      <c r="G10">
        <f>SUM($E$2:$E10)</f>
        <v>819</v>
      </c>
      <c r="H10" s="8">
        <v>2.5337832060334749E-2</v>
      </c>
      <c r="I10">
        <f>SUM($E$3:$E10)</f>
        <v>728</v>
      </c>
      <c r="J10" s="8">
        <v>2.5078415719294245E-2</v>
      </c>
      <c r="K10">
        <f>SUM($E$4:$E10)</f>
        <v>637</v>
      </c>
      <c r="L10" s="8">
        <v>2.4796437572143667E-2</v>
      </c>
      <c r="M10">
        <f>SUM($E$5:$E10)</f>
        <v>546</v>
      </c>
      <c r="N10" s="8">
        <v>2.4415875704770818E-2</v>
      </c>
      <c r="O10">
        <f>SUM($E$6:$E10)</f>
        <v>455</v>
      </c>
    </row>
    <row r="11" spans="1:16" x14ac:dyDescent="0.45">
      <c r="A11" s="3">
        <v>43637</v>
      </c>
      <c r="B11" s="2">
        <v>97.665000000000006</v>
      </c>
      <c r="C11" s="7" t="s">
        <v>9</v>
      </c>
      <c r="D11" s="8">
        <f t="shared" si="0"/>
        <v>2.3349999999999937E-2</v>
      </c>
      <c r="E11">
        <f t="shared" si="1"/>
        <v>91</v>
      </c>
      <c r="F11" s="8">
        <v>2.5498053700943553E-2</v>
      </c>
      <c r="G11">
        <f>SUM($E$2:$E11)</f>
        <v>910</v>
      </c>
      <c r="H11" s="8">
        <v>2.5249897862157793E-2</v>
      </c>
      <c r="I11">
        <f>SUM($E$3:$E11)</f>
        <v>819</v>
      </c>
      <c r="J11" s="8">
        <v>2.4991882886843605E-2</v>
      </c>
      <c r="K11">
        <f>SUM($E$4:$E11)</f>
        <v>728</v>
      </c>
      <c r="L11" s="8">
        <v>2.4715252943683104E-2</v>
      </c>
      <c r="M11">
        <f>SUM($E$5:$E11)</f>
        <v>637</v>
      </c>
      <c r="N11" s="8">
        <v>2.4358322516686962E-2</v>
      </c>
      <c r="O11">
        <f>SUM($E$6:$E11)</f>
        <v>546</v>
      </c>
    </row>
    <row r="12" spans="1:16" x14ac:dyDescent="0.45">
      <c r="A12" s="3">
        <v>43729</v>
      </c>
      <c r="B12" s="2">
        <v>97.67</v>
      </c>
      <c r="C12" s="7" t="s">
        <v>10</v>
      </c>
      <c r="D12" s="8">
        <f t="shared" si="0"/>
        <v>2.3299999999999984E-2</v>
      </c>
      <c r="E12">
        <f t="shared" si="1"/>
        <v>91</v>
      </c>
      <c r="F12" s="8">
        <v>2.5434754685863113E-2</v>
      </c>
      <c r="G12">
        <f>SUM($E$2:$E12)</f>
        <v>1001</v>
      </c>
      <c r="H12" s="8">
        <v>2.5188751472034868E-2</v>
      </c>
      <c r="I12">
        <f>SUM($E$3:$E12)</f>
        <v>910</v>
      </c>
      <c r="J12" s="8">
        <v>2.4934736119873308E-2</v>
      </c>
      <c r="K12">
        <f>SUM($E$4:$E12)</f>
        <v>819</v>
      </c>
      <c r="L12" s="8">
        <v>2.4665716553401756E-2</v>
      </c>
      <c r="M12">
        <f>SUM($E$5:$E12)</f>
        <v>728</v>
      </c>
      <c r="N12" s="8">
        <v>2.4330102517236836E-2</v>
      </c>
      <c r="O12">
        <f>SUM($E$6:$E12)</f>
        <v>637</v>
      </c>
    </row>
    <row r="13" spans="1:16" x14ac:dyDescent="0.45">
      <c r="A13" s="3">
        <v>43820</v>
      </c>
      <c r="B13" s="2">
        <v>97.655000000000001</v>
      </c>
      <c r="C13" s="7" t="s">
        <v>11</v>
      </c>
      <c r="D13" s="8">
        <f t="shared" si="0"/>
        <v>2.3449999999999988E-2</v>
      </c>
      <c r="E13">
        <f t="shared" si="1"/>
        <v>91</v>
      </c>
      <c r="F13" s="8">
        <v>2.5407562499629392E-2</v>
      </c>
      <c r="G13">
        <f>SUM($E$2:$E13)</f>
        <v>1092</v>
      </c>
      <c r="H13" s="8">
        <v>2.5166419358930027E-2</v>
      </c>
      <c r="I13">
        <f>SUM($E$3:$E13)</f>
        <v>1001</v>
      </c>
      <c r="J13" s="8">
        <v>2.4919286208243532E-2</v>
      </c>
      <c r="K13">
        <f>SUM($E$4:$E13)</f>
        <v>910</v>
      </c>
      <c r="L13" s="8">
        <v>2.4660600901392053E-2</v>
      </c>
      <c r="M13">
        <f>SUM($E$5:$E13)</f>
        <v>819</v>
      </c>
      <c r="N13" s="8">
        <v>2.4346282256702587E-2</v>
      </c>
      <c r="O13">
        <f>SUM($E$6:$E13)</f>
        <v>728</v>
      </c>
    </row>
    <row r="14" spans="1:16" x14ac:dyDescent="0.45">
      <c r="A14" s="3">
        <v>43546</v>
      </c>
      <c r="B14" s="2">
        <v>97.644999999999996</v>
      </c>
      <c r="C14" s="7" t="s">
        <v>12</v>
      </c>
      <c r="D14" s="8">
        <f t="shared" si="0"/>
        <v>2.355000000000004E-2</v>
      </c>
      <c r="E14">
        <f t="shared" si="1"/>
        <v>91</v>
      </c>
      <c r="F14" s="8">
        <v>2.540428763251646E-2</v>
      </c>
      <c r="G14">
        <f>SUM($E$2:$E14)</f>
        <v>1183</v>
      </c>
      <c r="H14" s="8">
        <v>2.5169046876491165E-2</v>
      </c>
      <c r="I14">
        <f>SUM($E$3:$E14)</f>
        <v>1092</v>
      </c>
      <c r="J14" s="8">
        <v>2.492966240221281E-2</v>
      </c>
      <c r="K14">
        <f>SUM($E$4:$E14)</f>
        <v>1001</v>
      </c>
      <c r="L14" s="8">
        <v>2.4681663063157219E-2</v>
      </c>
      <c r="M14">
        <f>SUM($E$5:$E14)</f>
        <v>910</v>
      </c>
      <c r="N14" s="8">
        <v>2.4386634352106619E-2</v>
      </c>
      <c r="O14">
        <f>SUM($E$6:$E14)</f>
        <v>819</v>
      </c>
    </row>
    <row r="15" spans="1:16" x14ac:dyDescent="0.45">
      <c r="A15" s="3">
        <v>43638</v>
      </c>
      <c r="B15" s="2">
        <v>97.63</v>
      </c>
      <c r="C15" s="7" t="s">
        <v>13</v>
      </c>
      <c r="D15" s="8">
        <f t="shared" si="0"/>
        <v>2.3700000000000044E-2</v>
      </c>
      <c r="E15">
        <f t="shared" si="1"/>
        <v>98</v>
      </c>
      <c r="F15" s="8">
        <v>2.5425266170328566E-2</v>
      </c>
      <c r="G15">
        <f>SUM($E$2:$E15)</f>
        <v>1281</v>
      </c>
      <c r="H15" s="8">
        <v>2.5197076186187876E-2</v>
      </c>
      <c r="I15">
        <f>SUM($E$3:$E15)</f>
        <v>1190</v>
      </c>
      <c r="J15" s="8">
        <v>2.4966506619125167E-2</v>
      </c>
      <c r="K15">
        <f>SUM($E$4:$E15)</f>
        <v>1099</v>
      </c>
      <c r="L15" s="8">
        <v>2.4729980002656724E-2</v>
      </c>
      <c r="M15">
        <f>SUM($E$5:$E15)</f>
        <v>1008</v>
      </c>
      <c r="N15" s="8">
        <v>2.4453773650412198E-2</v>
      </c>
      <c r="O15">
        <f>SUM($E$6:$E15)</f>
        <v>917</v>
      </c>
    </row>
    <row r="16" spans="1:16" x14ac:dyDescent="0.45">
      <c r="A16" s="3">
        <v>43730</v>
      </c>
      <c r="B16" s="2">
        <v>97.605000000000004</v>
      </c>
      <c r="C16" s="7" t="s">
        <v>14</v>
      </c>
      <c r="D16" s="8">
        <f t="shared" si="0"/>
        <v>2.3949999999999961E-2</v>
      </c>
      <c r="E16">
        <f t="shared" si="1"/>
        <v>91</v>
      </c>
      <c r="F16" s="8">
        <v>2.5471132822196707E-2</v>
      </c>
      <c r="G16">
        <f>SUM($E$2:$E16)</f>
        <v>1372</v>
      </c>
      <c r="H16" s="8">
        <v>2.5250193429002379E-2</v>
      </c>
      <c r="I16">
        <f>SUM($E$3:$E16)</f>
        <v>1281</v>
      </c>
      <c r="J16" s="8">
        <v>2.5028363313898235E-2</v>
      </c>
      <c r="K16">
        <f>SUM($E$4:$E16)</f>
        <v>1190</v>
      </c>
      <c r="L16" s="8">
        <v>2.4802714792033668E-2</v>
      </c>
      <c r="M16">
        <f>SUM($E$5:$E16)</f>
        <v>1099</v>
      </c>
      <c r="N16" s="8">
        <v>2.4542972842170805E-2</v>
      </c>
      <c r="O16">
        <f>SUM($E$6:$E16)</f>
        <v>1008</v>
      </c>
    </row>
    <row r="17" spans="1:15" x14ac:dyDescent="0.45">
      <c r="A17" s="3">
        <v>43821</v>
      </c>
      <c r="B17" s="2">
        <v>97.575000000000003</v>
      </c>
      <c r="C17" s="7" t="s">
        <v>15</v>
      </c>
      <c r="D17" s="8">
        <f t="shared" si="0"/>
        <v>2.4249999999999973E-2</v>
      </c>
      <c r="E17">
        <f t="shared" si="1"/>
        <v>84</v>
      </c>
      <c r="F17" s="8">
        <v>2.5536492156192928E-2</v>
      </c>
      <c r="G17">
        <f>SUM($E$2:$E17)</f>
        <v>1456</v>
      </c>
      <c r="H17" s="8">
        <v>2.5322724828452985E-2</v>
      </c>
      <c r="I17">
        <f>SUM($E$3:$E17)</f>
        <v>1365</v>
      </c>
      <c r="J17" s="8">
        <v>2.5109323973482013E-2</v>
      </c>
      <c r="K17">
        <f>SUM($E$4:$E17)</f>
        <v>1274</v>
      </c>
      <c r="L17" s="8">
        <v>2.489384568475787E-2</v>
      </c>
      <c r="M17">
        <f>SUM($E$5:$E17)</f>
        <v>1183</v>
      </c>
      <c r="N17" s="8">
        <v>2.4648626304771739E-2</v>
      </c>
      <c r="O17">
        <f>SUM($E$6:$E17)</f>
        <v>1092</v>
      </c>
    </row>
    <row r="18" spans="1:15" x14ac:dyDescent="0.45">
      <c r="A18" s="3">
        <v>43547</v>
      </c>
      <c r="B18" s="2">
        <v>97.55</v>
      </c>
      <c r="C18" s="7" t="s">
        <v>16</v>
      </c>
      <c r="D18" s="8">
        <f t="shared" si="0"/>
        <v>2.4500000000000029E-2</v>
      </c>
      <c r="E18">
        <f t="shared" si="1"/>
        <v>98</v>
      </c>
      <c r="F18" s="8">
        <v>2.563070146559639E-2</v>
      </c>
      <c r="G18">
        <f>SUM($E$2:$E18)</f>
        <v>1554</v>
      </c>
      <c r="H18" s="8">
        <v>2.5425189475125655E-2</v>
      </c>
      <c r="I18">
        <f>SUM($E$3:$E18)</f>
        <v>1463</v>
      </c>
      <c r="J18" s="8">
        <v>2.5221304270849235E-2</v>
      </c>
      <c r="K18">
        <f>SUM($E$4:$E18)</f>
        <v>1372</v>
      </c>
      <c r="L18" s="8">
        <v>2.5017041929725679E-2</v>
      </c>
      <c r="M18">
        <f>SUM($E$5:$E18)</f>
        <v>1281</v>
      </c>
      <c r="N18" s="8">
        <v>2.4787240917486762E-2</v>
      </c>
      <c r="O18">
        <f>SUM($E$6:$E18)</f>
        <v>1190</v>
      </c>
    </row>
    <row r="19" spans="1:15" x14ac:dyDescent="0.45">
      <c r="A19" s="3">
        <v>43639</v>
      </c>
      <c r="B19" s="2">
        <v>97.525000000000006</v>
      </c>
      <c r="C19" s="7" t="s">
        <v>17</v>
      </c>
      <c r="D19" s="8">
        <f t="shared" si="0"/>
        <v>2.4749999999999942E-2</v>
      </c>
      <c r="E19">
        <f t="shared" si="1"/>
        <v>91</v>
      </c>
      <c r="F19" s="8">
        <v>2.5733463345720003E-2</v>
      </c>
      <c r="G19">
        <f>SUM($E$2:$E19)</f>
        <v>1645</v>
      </c>
      <c r="H19" s="8">
        <v>2.5535402998679717E-2</v>
      </c>
      <c r="I19">
        <f>SUM($E$3:$E19)</f>
        <v>1554</v>
      </c>
      <c r="J19" s="8">
        <v>2.5339964741224741E-2</v>
      </c>
      <c r="K19">
        <f>SUM($E$4:$E19)</f>
        <v>1463</v>
      </c>
      <c r="L19" s="8">
        <v>2.5145461878003206E-2</v>
      </c>
      <c r="M19">
        <f>SUM($E$5:$E19)</f>
        <v>1372</v>
      </c>
      <c r="N19" s="8">
        <v>2.4928654294486628E-2</v>
      </c>
      <c r="O19">
        <f>SUM($E$6:$E19)</f>
        <v>1281</v>
      </c>
    </row>
    <row r="20" spans="1:15" x14ac:dyDescent="0.45">
      <c r="A20" s="3">
        <v>43731</v>
      </c>
      <c r="B20" s="2">
        <v>97.49</v>
      </c>
      <c r="C20" s="7" t="s">
        <v>18</v>
      </c>
      <c r="D20" s="8">
        <f t="shared" si="0"/>
        <v>2.5100000000000053E-2</v>
      </c>
      <c r="E20">
        <f t="shared" si="1"/>
        <v>91</v>
      </c>
      <c r="F20" s="8">
        <v>2.5854970686609312E-2</v>
      </c>
      <c r="G20">
        <f>SUM($E$2:$E20)</f>
        <v>1736</v>
      </c>
      <c r="H20" s="8">
        <v>2.5664369380143045E-2</v>
      </c>
      <c r="I20">
        <f>SUM($E$3:$E20)</f>
        <v>1645</v>
      </c>
      <c r="J20" s="8">
        <v>2.547727303483514E-2</v>
      </c>
      <c r="K20">
        <f>SUM($E$4:$E20)</f>
        <v>1554</v>
      </c>
      <c r="L20" s="8">
        <v>2.5292251475400197E-2</v>
      </c>
      <c r="M20">
        <f>SUM($E$5:$E20)</f>
        <v>1463</v>
      </c>
      <c r="N20" s="8">
        <v>2.5087693886166752E-2</v>
      </c>
      <c r="O20">
        <f>SUM($E$6:$E20)</f>
        <v>1372</v>
      </c>
    </row>
    <row r="21" spans="1:15" x14ac:dyDescent="0.45">
      <c r="A21" s="3">
        <v>43822</v>
      </c>
      <c r="B21" s="2">
        <v>97.444999999999993</v>
      </c>
      <c r="C21" s="7" t="s">
        <v>19</v>
      </c>
      <c r="D21" s="8">
        <f t="shared" si="0"/>
        <v>2.5550000000000069E-2</v>
      </c>
      <c r="E21">
        <f t="shared" si="1"/>
        <v>91</v>
      </c>
      <c r="F21" s="8">
        <v>2.5998446994465914E-2</v>
      </c>
      <c r="G21">
        <f>SUM($E$2:$E21)</f>
        <v>1827</v>
      </c>
      <c r="H21" s="8">
        <v>2.5815438182532711E-2</v>
      </c>
      <c r="I21">
        <f>SUM($E$3:$E21)</f>
        <v>1736</v>
      </c>
      <c r="J21" s="8">
        <v>2.5636738040410008E-2</v>
      </c>
      <c r="K21">
        <f>SUM($E$4:$E21)</f>
        <v>1645</v>
      </c>
      <c r="L21" s="8">
        <v>2.5461128661302845E-2</v>
      </c>
      <c r="M21">
        <f>SUM($E$5:$E21)</f>
        <v>1554</v>
      </c>
      <c r="N21" s="8">
        <v>2.526839963544996E-2</v>
      </c>
      <c r="O21">
        <f>SUM($E$6:$E21)</f>
        <v>1463</v>
      </c>
    </row>
    <row r="22" spans="1:15" x14ac:dyDescent="0.45">
      <c r="A22" s="3">
        <v>43548</v>
      </c>
      <c r="B22" s="2">
        <v>97.41</v>
      </c>
      <c r="C22" s="7" t="s">
        <v>20</v>
      </c>
      <c r="D22" s="8">
        <f t="shared" si="0"/>
        <v>2.5900000000000034E-2</v>
      </c>
      <c r="E22">
        <f t="shared" si="1"/>
        <v>91</v>
      </c>
      <c r="F22" s="8">
        <v>2.6155910864428866E-2</v>
      </c>
      <c r="G22">
        <f>SUM($E$2:$E22)</f>
        <v>1918</v>
      </c>
      <c r="H22" s="8">
        <v>2.5980244079258356E-2</v>
      </c>
      <c r="I22">
        <f>SUM($E$3:$E22)</f>
        <v>1827</v>
      </c>
      <c r="J22" s="8">
        <v>2.5809582177108357E-2</v>
      </c>
      <c r="K22">
        <f>SUM($E$4:$E22)</f>
        <v>1736</v>
      </c>
      <c r="L22" s="8">
        <v>2.5642877952610024E-2</v>
      </c>
      <c r="M22">
        <f>SUM($E$5:$E22)</f>
        <v>1645</v>
      </c>
      <c r="N22" s="8">
        <v>2.5461128661302793E-2</v>
      </c>
      <c r="O22">
        <f>SUM($E$6:$E22)</f>
        <v>1554</v>
      </c>
    </row>
    <row r="23" spans="1:15" x14ac:dyDescent="0.45">
      <c r="A23" s="3">
        <v>43640</v>
      </c>
      <c r="B23" s="2">
        <v>97.375</v>
      </c>
      <c r="C23" s="7" t="s">
        <v>21</v>
      </c>
      <c r="D23" s="8">
        <f t="shared" si="0"/>
        <v>2.6249999999999999E-2</v>
      </c>
      <c r="E23">
        <f t="shared" si="1"/>
        <v>91</v>
      </c>
      <c r="F23" s="8">
        <v>2.6325866715606591E-2</v>
      </c>
      <c r="G23">
        <f>SUM($E$2:$E23)</f>
        <v>2009</v>
      </c>
      <c r="H23" s="8">
        <v>2.6157253386929084E-2</v>
      </c>
      <c r="I23">
        <f>SUM($E$3:$E23)</f>
        <v>1918</v>
      </c>
      <c r="J23" s="8">
        <v>2.5994245970091256E-2</v>
      </c>
      <c r="K23">
        <f>SUM($E$4:$E23)</f>
        <v>1827</v>
      </c>
      <c r="L23" s="8">
        <v>2.5835934863323171E-2</v>
      </c>
      <c r="M23">
        <f>SUM($E$5:$E23)</f>
        <v>1736</v>
      </c>
      <c r="N23" s="8">
        <v>2.5664367645310025E-2</v>
      </c>
      <c r="O23">
        <f>SUM($E$6:$E23)</f>
        <v>1645</v>
      </c>
    </row>
    <row r="24" spans="1:15" x14ac:dyDescent="0.45">
      <c r="A24" s="3">
        <v>43732</v>
      </c>
      <c r="B24" s="2">
        <v>97.34</v>
      </c>
      <c r="C24" s="7" t="s">
        <v>22</v>
      </c>
      <c r="D24" s="8">
        <f t="shared" si="0"/>
        <v>2.6599999999999967E-2</v>
      </c>
      <c r="E24">
        <f t="shared" si="1"/>
        <v>91</v>
      </c>
      <c r="F24" s="8">
        <v>2.6507087498512799E-2</v>
      </c>
      <c r="G24">
        <f>SUM($E$2:$E24)</f>
        <v>2100</v>
      </c>
      <c r="H24" s="8">
        <v>2.6345219956590657E-2</v>
      </c>
      <c r="I24">
        <f>SUM($E$3:$E24)</f>
        <v>2009</v>
      </c>
      <c r="J24" s="8">
        <v>2.6189475949800541E-2</v>
      </c>
      <c r="K24">
        <f>SUM($E$4:$E24)</f>
        <v>1918</v>
      </c>
      <c r="L24" s="8">
        <v>2.603905708442077E-2</v>
      </c>
      <c r="M24">
        <f>SUM($E$5:$E24)</f>
        <v>1827</v>
      </c>
      <c r="N24" s="8">
        <v>2.5876931533926461E-2</v>
      </c>
      <c r="O24">
        <f>SUM($E$6:$E24)</f>
        <v>1736</v>
      </c>
    </row>
    <row r="25" spans="1:15" x14ac:dyDescent="0.45">
      <c r="A25" s="3">
        <v>43823</v>
      </c>
      <c r="B25" s="2">
        <v>97.295000000000002</v>
      </c>
      <c r="C25" s="7" t="s">
        <v>23</v>
      </c>
      <c r="D25" s="8">
        <f t="shared" si="0"/>
        <v>2.7049999999999984E-2</v>
      </c>
      <c r="E25">
        <f t="shared" si="1"/>
        <v>91</v>
      </c>
      <c r="F25" s="8">
        <v>2.6703354687690535E-2</v>
      </c>
      <c r="G25">
        <f>SUM($E$2:$E25)</f>
        <v>2191</v>
      </c>
      <c r="H25" s="8">
        <v>2.6548093497961073E-2</v>
      </c>
      <c r="I25">
        <f>SUM($E$3:$E25)</f>
        <v>2100</v>
      </c>
      <c r="J25" s="8">
        <v>2.6399417196360495E-2</v>
      </c>
      <c r="K25">
        <f>SUM($E$4:$E25)</f>
        <v>2009</v>
      </c>
      <c r="L25" s="8">
        <v>2.6256619776402482E-2</v>
      </c>
      <c r="M25">
        <f>SUM($E$5:$E25)</f>
        <v>1918</v>
      </c>
      <c r="N25" s="8">
        <v>2.6103484385181501E-2</v>
      </c>
      <c r="O25">
        <f>SUM($E$6:$E25)</f>
        <v>1827</v>
      </c>
    </row>
    <row r="26" spans="1:15" x14ac:dyDescent="0.45">
      <c r="A26" s="3">
        <v>43549</v>
      </c>
      <c r="B26" s="2">
        <v>97.265000000000001</v>
      </c>
      <c r="C26" s="7" t="s">
        <v>24</v>
      </c>
      <c r="D26" s="8">
        <f t="shared" si="0"/>
        <v>2.7349999999999996E-2</v>
      </c>
      <c r="E26">
        <f t="shared" si="1"/>
        <v>91</v>
      </c>
      <c r="F26" s="8">
        <v>2.6906392193928035E-2</v>
      </c>
      <c r="G26">
        <f>SUM($E$2:$E26)</f>
        <v>2282</v>
      </c>
      <c r="H26" s="8">
        <v>2.675731597914905E-2</v>
      </c>
      <c r="I26">
        <f>SUM($E$3:$E26)</f>
        <v>2191</v>
      </c>
      <c r="J26" s="8">
        <v>2.661521191769772E-2</v>
      </c>
      <c r="K26">
        <f>SUM($E$4:$E26)</f>
        <v>2100</v>
      </c>
      <c r="L26" s="8">
        <v>2.6479447761247558E-2</v>
      </c>
      <c r="M26">
        <f>SUM($E$5:$E26)</f>
        <v>2009</v>
      </c>
      <c r="N26" s="8">
        <v>2.6334529109265009E-2</v>
      </c>
      <c r="O26">
        <f>SUM($E$6:$E26)</f>
        <v>1918</v>
      </c>
    </row>
    <row r="27" spans="1:15" x14ac:dyDescent="0.45">
      <c r="A27" s="3">
        <v>43641</v>
      </c>
      <c r="B27" s="2">
        <v>97.234999999999999</v>
      </c>
      <c r="C27" s="7" t="s">
        <v>25</v>
      </c>
      <c r="D27" s="8">
        <f t="shared" si="0"/>
        <v>2.7650000000000004E-2</v>
      </c>
      <c r="E27">
        <f t="shared" si="1"/>
        <v>91</v>
      </c>
      <c r="F27" s="8">
        <v>2.711575349870295E-2</v>
      </c>
      <c r="G27">
        <f>SUM($E$2:$E27)</f>
        <v>2373</v>
      </c>
      <c r="H27" s="8">
        <v>2.6972471209770029E-2</v>
      </c>
      <c r="I27">
        <f>SUM($E$3:$E27)</f>
        <v>2282</v>
      </c>
      <c r="J27" s="8">
        <v>2.683648603790708E-2</v>
      </c>
      <c r="K27">
        <f>SUM($E$4:$E27)</f>
        <v>2191</v>
      </c>
      <c r="L27" s="8">
        <v>2.6707224815047604E-2</v>
      </c>
      <c r="M27">
        <f>SUM($E$5:$E27)</f>
        <v>2100</v>
      </c>
      <c r="N27" s="8">
        <v>2.6569837753605413E-2</v>
      </c>
      <c r="O27">
        <f>SUM($E$6:$E27)</f>
        <v>2009</v>
      </c>
    </row>
    <row r="28" spans="1:15" x14ac:dyDescent="0.45">
      <c r="A28" s="3">
        <v>43733</v>
      </c>
      <c r="B28" s="2">
        <v>97.204999999999998</v>
      </c>
      <c r="C28" s="7" t="s">
        <v>26</v>
      </c>
      <c r="D28" s="8">
        <f t="shared" si="0"/>
        <v>2.7950000000000016E-2</v>
      </c>
      <c r="E28">
        <f t="shared" si="1"/>
        <v>91</v>
      </c>
      <c r="F28" s="8">
        <v>2.7331065032503203E-2</v>
      </c>
      <c r="G28">
        <f>SUM($E$2:$E28)</f>
        <v>2464</v>
      </c>
      <c r="H28" s="8">
        <v>2.7193214046030159E-2</v>
      </c>
      <c r="I28">
        <f>SUM($E$3:$E28)</f>
        <v>2373</v>
      </c>
      <c r="J28" s="8">
        <v>2.7062932594245689E-2</v>
      </c>
      <c r="K28">
        <f>SUM($E$4:$E28)</f>
        <v>2282</v>
      </c>
      <c r="L28" s="8">
        <v>2.6939694953069679E-2</v>
      </c>
      <c r="M28">
        <f>SUM($E$5:$E28)</f>
        <v>2191</v>
      </c>
      <c r="N28" s="8">
        <v>2.6809229862527661E-2</v>
      </c>
      <c r="O28">
        <f>SUM($E$6:$E28)</f>
        <v>2100</v>
      </c>
    </row>
    <row r="29" spans="1:15" x14ac:dyDescent="0.45">
      <c r="A29" s="3">
        <v>43824</v>
      </c>
      <c r="B29" s="2">
        <v>97.174999999999997</v>
      </c>
      <c r="C29" s="7" t="s">
        <v>27</v>
      </c>
      <c r="D29" s="8">
        <f t="shared" si="0"/>
        <v>2.8250000000000029E-2</v>
      </c>
      <c r="E29">
        <f t="shared" si="1"/>
        <v>91</v>
      </c>
      <c r="F29" s="8">
        <v>2.7552013325654313E-2</v>
      </c>
      <c r="G29">
        <f>SUM($E$2:$E29)</f>
        <v>2555</v>
      </c>
      <c r="H29" s="8">
        <v>2.7419257417341487E-2</v>
      </c>
      <c r="I29">
        <f>SUM($E$3:$E29)</f>
        <v>2464</v>
      </c>
      <c r="J29" s="8">
        <v>2.7294299019451032E-2</v>
      </c>
      <c r="K29">
        <f>SUM($E$4:$E29)</f>
        <v>2373</v>
      </c>
      <c r="L29" s="8">
        <v>2.7176650574492846E-2</v>
      </c>
      <c r="M29">
        <f>SUM($E$5:$E29)</f>
        <v>2282</v>
      </c>
      <c r="N29" s="8">
        <v>2.7052562774704619E-2</v>
      </c>
      <c r="O29">
        <f>SUM($E$6:$E29)</f>
        <v>2191</v>
      </c>
    </row>
    <row r="30" spans="1:15" x14ac:dyDescent="0.45">
      <c r="A30" s="3">
        <v>43550</v>
      </c>
      <c r="B30" s="2">
        <v>97.165000000000006</v>
      </c>
      <c r="C30" s="7" t="s">
        <v>28</v>
      </c>
      <c r="D30" s="8">
        <f t="shared" si="0"/>
        <v>2.8349999999999938E-2</v>
      </c>
      <c r="E30">
        <f t="shared" si="1"/>
        <v>91</v>
      </c>
      <c r="F30" s="8">
        <v>2.7770111504019826E-2</v>
      </c>
      <c r="G30">
        <f>SUM($E$2:$E30)</f>
        <v>2646</v>
      </c>
      <c r="H30" s="8">
        <v>2.7641902016779716E-2</v>
      </c>
      <c r="I30">
        <f>SUM($E$3:$E30)</f>
        <v>2555</v>
      </c>
      <c r="J30" s="8">
        <v>2.7521661965175907E-2</v>
      </c>
      <c r="K30">
        <f>SUM($E$4:$E30)</f>
        <v>2464</v>
      </c>
      <c r="L30" s="8">
        <v>2.7408932479100822E-2</v>
      </c>
      <c r="M30">
        <f>SUM($E$5:$E30)</f>
        <v>2373</v>
      </c>
      <c r="N30" s="8">
        <v>2.7290435666998819E-2</v>
      </c>
      <c r="O30">
        <f>SUM($E$6:$E30)</f>
        <v>2282</v>
      </c>
    </row>
    <row r="31" spans="1:15" x14ac:dyDescent="0.45">
      <c r="A31" s="3">
        <v>43642</v>
      </c>
      <c r="B31" s="2">
        <v>97.144999999999996</v>
      </c>
      <c r="C31" s="7" t="s">
        <v>29</v>
      </c>
      <c r="D31" s="8">
        <f t="shared" si="0"/>
        <v>2.8550000000000041E-2</v>
      </c>
      <c r="E31">
        <f t="shared" si="1"/>
        <v>91</v>
      </c>
      <c r="F31" s="8">
        <v>2.7989789497754873E-2</v>
      </c>
      <c r="G31">
        <f>SUM($E$2:$E31)</f>
        <v>2737</v>
      </c>
      <c r="H31" s="8">
        <v>2.7865758494231452E-2</v>
      </c>
      <c r="I31">
        <f>SUM($E$3:$E31)</f>
        <v>2646</v>
      </c>
      <c r="J31" s="8">
        <v>2.7749832103415865E-2</v>
      </c>
      <c r="K31">
        <f>SUM($E$4:$E31)</f>
        <v>2555</v>
      </c>
      <c r="L31" s="8">
        <v>2.7641573817564134E-2</v>
      </c>
      <c r="M31">
        <f>SUM($E$5:$E31)</f>
        <v>2464</v>
      </c>
      <c r="N31" s="8">
        <v>2.7528134665850343E-2</v>
      </c>
      <c r="O31">
        <f>SUM($E$6:$E31)</f>
        <v>2373</v>
      </c>
    </row>
    <row r="32" spans="1:15" x14ac:dyDescent="0.45">
      <c r="A32" s="3">
        <v>43734</v>
      </c>
      <c r="B32" s="2">
        <v>97.125</v>
      </c>
      <c r="C32" s="7" t="s">
        <v>30</v>
      </c>
      <c r="D32" s="8">
        <f t="shared" si="0"/>
        <v>2.8750000000000001E-2</v>
      </c>
      <c r="E32">
        <f t="shared" si="1"/>
        <v>91</v>
      </c>
      <c r="F32" s="8">
        <v>2.8211118191917052E-2</v>
      </c>
      <c r="G32">
        <f>SUM($E$2:$E32)</f>
        <v>2828</v>
      </c>
      <c r="H32" s="8">
        <v>2.8090935271133131E-2</v>
      </c>
      <c r="I32">
        <f>SUM($E$3:$E32)</f>
        <v>2737</v>
      </c>
      <c r="J32" s="8">
        <v>2.7978961788996556E-2</v>
      </c>
      <c r="K32">
        <f>SUM($E$4:$E32)</f>
        <v>2646</v>
      </c>
      <c r="L32" s="8">
        <v>2.7874778632585983E-2</v>
      </c>
      <c r="M32">
        <f>SUM($E$5:$E32)</f>
        <v>2555</v>
      </c>
      <c r="N32" s="8">
        <v>2.7765928804661444E-2</v>
      </c>
      <c r="O32">
        <f>SUM($E$6:$E32)</f>
        <v>2464</v>
      </c>
    </row>
    <row r="33" spans="1:15" x14ac:dyDescent="0.45">
      <c r="A33" s="3">
        <v>43825</v>
      </c>
      <c r="B33" s="2">
        <v>97.105000000000004</v>
      </c>
      <c r="C33" s="7" t="s">
        <v>31</v>
      </c>
      <c r="D33" s="8">
        <f t="shared" si="0"/>
        <v>2.8949999999999962E-2</v>
      </c>
      <c r="E33">
        <f t="shared" si="1"/>
        <v>91</v>
      </c>
      <c r="F33" s="8">
        <v>2.8434163503077384E-2</v>
      </c>
      <c r="G33">
        <f>SUM($E$2:$E33)</f>
        <v>2919</v>
      </c>
      <c r="H33" s="8">
        <v>2.8317530782830634E-2</v>
      </c>
      <c r="I33">
        <f>SUM($E$3:$E33)</f>
        <v>2828</v>
      </c>
      <c r="J33" s="8">
        <v>2.8209187189053613E-2</v>
      </c>
      <c r="K33">
        <f>SUM($E$4:$E33)</f>
        <v>2737</v>
      </c>
      <c r="L33" s="8">
        <v>2.8108727084651237E-2</v>
      </c>
      <c r="M33">
        <f>SUM($E$5:$E33)</f>
        <v>2646</v>
      </c>
      <c r="N33" s="8">
        <v>2.8004053096862849E-2</v>
      </c>
      <c r="O33">
        <f>SUM($E$6:$E33)</f>
        <v>2555</v>
      </c>
    </row>
    <row r="34" spans="1:15" x14ac:dyDescent="0.45">
      <c r="A34" s="3">
        <v>43551</v>
      </c>
      <c r="B34" s="2">
        <v>97.094999999999999</v>
      </c>
      <c r="C34" s="7" t="s">
        <v>32</v>
      </c>
      <c r="D34" s="8">
        <f t="shared" si="0"/>
        <v>2.905000000000001E-2</v>
      </c>
      <c r="E34">
        <f t="shared" si="1"/>
        <v>91</v>
      </c>
      <c r="F34" s="8">
        <v>2.865526692191981E-2</v>
      </c>
      <c r="G34">
        <f>SUM($E$2:$E34)</f>
        <v>3010</v>
      </c>
      <c r="H34" s="8">
        <v>2.8541824111972227E-2</v>
      </c>
      <c r="I34">
        <f>SUM($E$3:$E34)</f>
        <v>2919</v>
      </c>
      <c r="J34" s="8">
        <v>2.8436723018959664E-2</v>
      </c>
      <c r="K34">
        <f>SUM($E$4:$E34)</f>
        <v>2828</v>
      </c>
      <c r="L34" s="8">
        <v>2.8339567787102369E-2</v>
      </c>
      <c r="M34">
        <f>SUM($E$5:$E34)</f>
        <v>2737</v>
      </c>
      <c r="N34" s="8">
        <v>2.8238591775012596E-2</v>
      </c>
      <c r="O34">
        <f>SUM($E$6:$E34)</f>
        <v>2646</v>
      </c>
    </row>
    <row r="35" spans="1:15" x14ac:dyDescent="0.45">
      <c r="A35" s="3">
        <v>43643</v>
      </c>
      <c r="B35" s="2">
        <v>97.084999999999994</v>
      </c>
      <c r="C35" s="7" t="s">
        <v>33</v>
      </c>
      <c r="D35" s="8">
        <f t="shared" si="0"/>
        <v>2.9150000000000061E-2</v>
      </c>
      <c r="E35">
        <f t="shared" si="1"/>
        <v>91</v>
      </c>
      <c r="F35" s="8">
        <v>2.8874734442233332E-2</v>
      </c>
      <c r="G35">
        <f>SUM($E$2:$E35)</f>
        <v>3101</v>
      </c>
      <c r="H35" s="8">
        <v>2.8764162264644327E-2</v>
      </c>
      <c r="I35">
        <f>SUM($E$3:$E35)</f>
        <v>3010</v>
      </c>
      <c r="J35" s="8">
        <v>2.8661962402726188E-2</v>
      </c>
      <c r="K35">
        <f>SUM($E$4:$E35)</f>
        <v>2919</v>
      </c>
      <c r="L35" s="8">
        <v>2.8567745935906896E-2</v>
      </c>
      <c r="M35">
        <f>SUM($E$5:$E35)</f>
        <v>2828</v>
      </c>
      <c r="N35" s="8">
        <v>2.8470051525448455E-2</v>
      </c>
      <c r="O35">
        <f>SUM($E$6:$E35)</f>
        <v>2737</v>
      </c>
    </row>
    <row r="36" spans="1:15" x14ac:dyDescent="0.45">
      <c r="A36" s="3">
        <v>43735</v>
      </c>
      <c r="B36" s="2">
        <v>97.075000000000003</v>
      </c>
      <c r="C36" s="7" t="s">
        <v>34</v>
      </c>
      <c r="D36" s="8">
        <f t="shared" si="0"/>
        <v>2.924999999999997E-2</v>
      </c>
      <c r="E36">
        <f t="shared" si="1"/>
        <v>91</v>
      </c>
      <c r="F36" s="8">
        <v>2.9092838959291482E-2</v>
      </c>
      <c r="G36">
        <f>SUM($E$2:$E36)</f>
        <v>3192</v>
      </c>
      <c r="H36" s="8">
        <v>2.8984853350873759E-2</v>
      </c>
      <c r="I36">
        <f>SUM($E$3:$E36)</f>
        <v>3101</v>
      </c>
      <c r="J36" s="8">
        <v>2.8885252802975929E-2</v>
      </c>
      <c r="K36">
        <f>SUM($E$4:$E36)</f>
        <v>3010</v>
      </c>
      <c r="L36" s="8">
        <v>2.8793653136205972E-2</v>
      </c>
      <c r="M36">
        <f>SUM($E$5:$E36)</f>
        <v>2919</v>
      </c>
      <c r="N36" s="8">
        <v>2.8698875791697193E-2</v>
      </c>
      <c r="O36">
        <f>SUM($E$6:$E36)</f>
        <v>2828</v>
      </c>
    </row>
    <row r="37" spans="1:15" x14ac:dyDescent="0.45">
      <c r="A37" s="3">
        <v>43826</v>
      </c>
      <c r="B37" s="2">
        <v>97.034999999999997</v>
      </c>
      <c r="C37" s="7" t="s">
        <v>35</v>
      </c>
      <c r="D37" s="8">
        <f t="shared" si="0"/>
        <v>2.9650000000000034E-2</v>
      </c>
      <c r="E37">
        <f t="shared" si="1"/>
        <v>91</v>
      </c>
      <c r="F37" s="8">
        <v>2.9320285502043509E-2</v>
      </c>
      <c r="G37">
        <f>SUM($E$2:$E37)</f>
        <v>3283</v>
      </c>
      <c r="H37" s="8">
        <v>2.9214860142262215E-2</v>
      </c>
      <c r="I37">
        <f>SUM($E$3:$E37)</f>
        <v>3192</v>
      </c>
      <c r="J37" s="8">
        <v>2.9117832544433949E-2</v>
      </c>
      <c r="K37">
        <f>SUM($E$4:$E37)</f>
        <v>3101</v>
      </c>
      <c r="L37" s="8">
        <v>2.902882280367948E-2</v>
      </c>
      <c r="M37">
        <f>SUM($E$5:$E37)</f>
        <v>3010</v>
      </c>
      <c r="N37" s="8">
        <v>2.8936915662924716E-2</v>
      </c>
      <c r="O37">
        <f>SUM($E$6:$E37)</f>
        <v>2919</v>
      </c>
    </row>
    <row r="38" spans="1:15" x14ac:dyDescent="0.45">
      <c r="A38" s="3">
        <v>43552</v>
      </c>
      <c r="B38" s="2">
        <v>97.025000000000006</v>
      </c>
      <c r="C38" s="7" t="s">
        <v>36</v>
      </c>
      <c r="D38" s="8">
        <f t="shared" si="0"/>
        <v>2.9749999999999943E-2</v>
      </c>
      <c r="E38">
        <f t="shared" si="1"/>
        <v>98</v>
      </c>
      <c r="F38" s="8">
        <v>2.9563311871933572E-2</v>
      </c>
      <c r="G38">
        <f>SUM($E$2:$E38)</f>
        <v>3381</v>
      </c>
      <c r="H38" s="8">
        <v>2.9460352616060129E-2</v>
      </c>
      <c r="I38">
        <f>SUM($E$3:$E38)</f>
        <v>3290</v>
      </c>
      <c r="J38" s="8">
        <v>2.9365788665532005E-2</v>
      </c>
      <c r="K38">
        <f>SUM($E$4:$E38)</f>
        <v>3199</v>
      </c>
      <c r="L38" s="8">
        <v>2.9279242925111082E-2</v>
      </c>
      <c r="M38">
        <f>SUM($E$5:$E38)</f>
        <v>3108</v>
      </c>
      <c r="N38" s="8">
        <v>2.9190063322917095E-2</v>
      </c>
      <c r="O38">
        <f>SUM($E$6:$E38)</f>
        <v>3017</v>
      </c>
    </row>
    <row r="39" spans="1:15" x14ac:dyDescent="0.45">
      <c r="A39" s="3">
        <v>43644</v>
      </c>
      <c r="B39" s="2">
        <v>97.01</v>
      </c>
      <c r="C39" s="7" t="s">
        <v>37</v>
      </c>
      <c r="D39" s="8">
        <f t="shared" si="0"/>
        <v>2.9899999999999947E-2</v>
      </c>
      <c r="E39">
        <f t="shared" si="1"/>
        <v>91</v>
      </c>
      <c r="F39" s="8">
        <v>2.9789721192139042E-2</v>
      </c>
      <c r="G39">
        <f>SUM($E$2:$E39)</f>
        <v>3472</v>
      </c>
      <c r="H39" s="8">
        <v>2.9688855757711644E-2</v>
      </c>
      <c r="I39">
        <f>SUM($E$3:$E39)</f>
        <v>3381</v>
      </c>
      <c r="J39" s="8">
        <v>2.9596373991400731E-2</v>
      </c>
      <c r="K39">
        <f>SUM($E$4:$E39)</f>
        <v>3290</v>
      </c>
      <c r="L39" s="8">
        <v>2.9511900347866663E-2</v>
      </c>
      <c r="M39">
        <f>SUM($E$5:$E39)</f>
        <v>3199</v>
      </c>
      <c r="N39" s="8">
        <v>2.9425010279304914E-2</v>
      </c>
      <c r="O39">
        <f>SUM($E$6:$E39)</f>
        <v>3108</v>
      </c>
    </row>
    <row r="40" spans="1:15" x14ac:dyDescent="0.45">
      <c r="A40" s="3">
        <v>43736</v>
      </c>
      <c r="B40" s="2">
        <v>97.004999999999995</v>
      </c>
      <c r="C40" s="7" t="s">
        <v>38</v>
      </c>
      <c r="D40" s="8">
        <f t="shared" si="0"/>
        <v>2.9950000000000046E-2</v>
      </c>
      <c r="E40">
        <f t="shared" si="1"/>
        <v>91</v>
      </c>
      <c r="F40" s="8">
        <v>3.0013583564164E-2</v>
      </c>
      <c r="G40">
        <f>SUM($E$2:$E40)</f>
        <v>3563</v>
      </c>
      <c r="H40" s="8">
        <v>2.9914574494571047E-2</v>
      </c>
      <c r="I40">
        <f>SUM($E$3:$E40)</f>
        <v>3472</v>
      </c>
      <c r="J40" s="8">
        <v>2.9823926242049624E-2</v>
      </c>
      <c r="K40">
        <f>SUM($E$4:$E40)</f>
        <v>3381</v>
      </c>
      <c r="L40" s="8">
        <v>2.9741263721359556E-2</v>
      </c>
      <c r="M40">
        <f>SUM($E$5:$E40)</f>
        <v>3290</v>
      </c>
      <c r="N40" s="8">
        <v>2.9656375164709956E-2</v>
      </c>
      <c r="O40">
        <f>SUM($E$6:$E40)</f>
        <v>3199</v>
      </c>
    </row>
    <row r="41" spans="1:15" x14ac:dyDescent="0.45">
      <c r="A41" s="3">
        <v>43827</v>
      </c>
      <c r="B41" s="2">
        <v>96.995000000000005</v>
      </c>
      <c r="C41" s="7" t="s">
        <v>39</v>
      </c>
      <c r="D41" s="8">
        <f t="shared" si="0"/>
        <v>3.0049999999999955E-2</v>
      </c>
      <c r="E41">
        <f t="shared" si="1"/>
        <v>91</v>
      </c>
      <c r="F41" s="8">
        <v>3.0236795112651794E-2</v>
      </c>
      <c r="G41">
        <f>SUM($E$2:$E41)</f>
        <v>3654</v>
      </c>
      <c r="H41" s="8">
        <v>3.0139460052357205E-2</v>
      </c>
      <c r="I41">
        <f>SUM($E$3:$E41)</f>
        <v>3563</v>
      </c>
      <c r="J41" s="8">
        <v>3.0050455692330866E-2</v>
      </c>
      <c r="K41">
        <f>SUM($E$4:$E41)</f>
        <v>3472</v>
      </c>
      <c r="L41" s="8">
        <v>2.9969406710532456E-2</v>
      </c>
      <c r="M41">
        <f>SUM($E$5:$E41)</f>
        <v>3381</v>
      </c>
      <c r="N41" s="8">
        <v>2.9886300817381951E-2</v>
      </c>
      <c r="O41">
        <f>SUM($E$6:$E41)</f>
        <v>3290</v>
      </c>
    </row>
    <row r="42" spans="1:15" x14ac:dyDescent="0.45">
      <c r="A42" s="3">
        <v>43553</v>
      </c>
      <c r="B42" s="2">
        <v>96.99</v>
      </c>
      <c r="C42" s="7" t="s">
        <v>40</v>
      </c>
      <c r="D42" s="8">
        <f>(100 -$B42)/100</f>
        <v>3.010000000000005E-2</v>
      </c>
    </row>
    <row r="43" spans="1:15" x14ac:dyDescent="0.45">
      <c r="A43" s="1"/>
      <c r="B43" s="2"/>
    </row>
    <row r="48" spans="1:15" x14ac:dyDescent="0.45">
      <c r="A48" t="s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I263"/>
  <sheetViews>
    <sheetView tabSelected="1" workbookViewId="0">
      <selection activeCell="J10" sqref="J10"/>
    </sheetView>
  </sheetViews>
  <sheetFormatPr defaultRowHeight="14.25" x14ac:dyDescent="0.45"/>
  <cols>
    <col min="1" max="1" width="10.19921875" bestFit="1" customWidth="1"/>
    <col min="2" max="3" width="8.19921875" bestFit="1" customWidth="1"/>
    <col min="4" max="4" width="7.19921875" bestFit="1" customWidth="1"/>
    <col min="5" max="8" width="8.19921875" bestFit="1" customWidth="1"/>
    <col min="9" max="9" width="13.265625" bestFit="1" customWidth="1"/>
  </cols>
  <sheetData>
    <row r="1" spans="1:9" x14ac:dyDescent="0.45">
      <c r="A1" s="13" t="s">
        <v>53</v>
      </c>
      <c r="B1" s="13" t="s">
        <v>44</v>
      </c>
      <c r="C1" s="13" t="s">
        <v>45</v>
      </c>
      <c r="D1" s="13" t="s">
        <v>46</v>
      </c>
      <c r="E1" s="13" t="s">
        <v>47</v>
      </c>
      <c r="F1" s="13" t="s">
        <v>48</v>
      </c>
      <c r="G1" s="13" t="s">
        <v>49</v>
      </c>
      <c r="H1" s="13" t="s">
        <v>50</v>
      </c>
      <c r="I1" s="4" t="s">
        <v>51</v>
      </c>
    </row>
    <row r="2" spans="1:9" x14ac:dyDescent="0.45">
      <c r="A2" s="5">
        <v>41638</v>
      </c>
      <c r="B2" s="6">
        <v>58.779998999999997</v>
      </c>
      <c r="C2" s="6">
        <v>76.110000999999997</v>
      </c>
      <c r="D2" s="6">
        <v>63.490001999999997</v>
      </c>
      <c r="E2" s="6">
        <v>20.440000999999999</v>
      </c>
      <c r="F2" s="6">
        <v>36.909999999999997</v>
      </c>
      <c r="G2" s="6">
        <v>99.510002</v>
      </c>
      <c r="H2" s="6">
        <v>55.290000999999997</v>
      </c>
      <c r="I2" s="4" t="s">
        <v>52</v>
      </c>
    </row>
    <row r="3" spans="1:9" x14ac:dyDescent="0.45">
      <c r="A3" s="5">
        <v>41645</v>
      </c>
      <c r="B3" s="6">
        <v>59.599997999999999</v>
      </c>
      <c r="C3" s="6">
        <v>75.389999000000003</v>
      </c>
      <c r="D3" s="6">
        <v>62.619999</v>
      </c>
      <c r="E3" s="6">
        <v>21.17</v>
      </c>
      <c r="F3" s="6">
        <v>36.040000999999997</v>
      </c>
      <c r="G3" s="6">
        <v>100.519997</v>
      </c>
      <c r="H3" s="6">
        <v>55.282501000000003</v>
      </c>
      <c r="I3" s="4"/>
    </row>
    <row r="4" spans="1:9" x14ac:dyDescent="0.45">
      <c r="A4" s="5">
        <v>41652</v>
      </c>
      <c r="B4" s="6">
        <v>47.490001999999997</v>
      </c>
      <c r="C4" s="6">
        <v>73.980002999999996</v>
      </c>
      <c r="D4" s="6">
        <v>60.240001999999997</v>
      </c>
      <c r="E4" s="6">
        <v>21.35</v>
      </c>
      <c r="F4" s="6">
        <v>36.380001</v>
      </c>
      <c r="G4" s="6">
        <v>99.160004000000001</v>
      </c>
      <c r="H4" s="6">
        <v>58.044998</v>
      </c>
      <c r="I4" s="4"/>
    </row>
    <row r="5" spans="1:9" x14ac:dyDescent="0.45">
      <c r="A5" s="5">
        <v>41659</v>
      </c>
      <c r="B5" s="6">
        <v>47.619999</v>
      </c>
      <c r="C5" s="6">
        <v>72.720000999999996</v>
      </c>
      <c r="D5" s="6">
        <v>57.720001000000003</v>
      </c>
      <c r="E5" s="6">
        <v>21.16</v>
      </c>
      <c r="F5" s="6">
        <v>36.810001</v>
      </c>
      <c r="G5" s="6">
        <v>94.849997999999999</v>
      </c>
      <c r="H5" s="6">
        <v>55.3125</v>
      </c>
      <c r="I5" s="4"/>
    </row>
    <row r="6" spans="1:9" x14ac:dyDescent="0.45">
      <c r="A6" s="5">
        <v>41666</v>
      </c>
      <c r="B6" s="6">
        <v>45.689999</v>
      </c>
      <c r="C6" s="6">
        <v>72.610000999999997</v>
      </c>
      <c r="D6" s="6">
        <v>56.639999000000003</v>
      </c>
      <c r="E6" s="6">
        <v>20.73</v>
      </c>
      <c r="F6" s="6">
        <v>37.840000000000003</v>
      </c>
      <c r="G6" s="6">
        <v>92.160004000000001</v>
      </c>
      <c r="H6" s="6">
        <v>53.857498</v>
      </c>
      <c r="I6" s="4"/>
    </row>
    <row r="7" spans="1:9" x14ac:dyDescent="0.45">
      <c r="A7" s="5">
        <v>41673</v>
      </c>
      <c r="B7" s="6">
        <v>47.380001</v>
      </c>
      <c r="C7" s="6">
        <v>75.669998000000007</v>
      </c>
      <c r="D7" s="6">
        <v>56.330002</v>
      </c>
      <c r="E7" s="6">
        <v>19.399999999999999</v>
      </c>
      <c r="F7" s="6">
        <v>36.560001</v>
      </c>
      <c r="G7" s="6">
        <v>90.580001999999993</v>
      </c>
      <c r="H7" s="6">
        <v>55.445</v>
      </c>
      <c r="I7" s="4"/>
    </row>
    <row r="8" spans="1:9" x14ac:dyDescent="0.45">
      <c r="A8" s="5">
        <v>41680</v>
      </c>
      <c r="B8" s="6">
        <v>51.049999</v>
      </c>
      <c r="C8" s="6">
        <v>79.230002999999996</v>
      </c>
      <c r="D8" s="6">
        <v>56.060001</v>
      </c>
      <c r="E8" s="6">
        <v>21.950001</v>
      </c>
      <c r="F8" s="6">
        <v>37.619999</v>
      </c>
      <c r="G8" s="6">
        <v>94.110000999999997</v>
      </c>
      <c r="H8" s="6">
        <v>56.5</v>
      </c>
      <c r="I8" s="4"/>
    </row>
    <row r="9" spans="1:9" x14ac:dyDescent="0.45">
      <c r="A9" s="5">
        <v>41687</v>
      </c>
      <c r="B9" s="6">
        <v>51.389999000000003</v>
      </c>
      <c r="C9" s="6">
        <v>80.129997000000003</v>
      </c>
      <c r="D9" s="6">
        <v>56.240001999999997</v>
      </c>
      <c r="E9" s="6">
        <v>20.860001</v>
      </c>
      <c r="F9" s="6">
        <v>37.979999999999997</v>
      </c>
      <c r="G9" s="6">
        <v>95.029999000000004</v>
      </c>
      <c r="H9" s="6">
        <v>55.84</v>
      </c>
      <c r="I9" s="4"/>
    </row>
    <row r="10" spans="1:9" x14ac:dyDescent="0.45">
      <c r="A10" s="5">
        <v>41694</v>
      </c>
      <c r="B10" s="6">
        <v>50.310001</v>
      </c>
      <c r="C10" s="6">
        <v>80.809997999999993</v>
      </c>
      <c r="D10" s="6">
        <v>62.540000999999997</v>
      </c>
      <c r="E10" s="6">
        <v>21.040001</v>
      </c>
      <c r="F10" s="6">
        <v>38.310001</v>
      </c>
      <c r="G10" s="6">
        <v>96.269997000000004</v>
      </c>
      <c r="H10" s="6">
        <v>56.485000999999997</v>
      </c>
      <c r="I10" s="4"/>
    </row>
    <row r="11" spans="1:9" x14ac:dyDescent="0.45">
      <c r="A11" s="5">
        <v>41701</v>
      </c>
      <c r="B11" s="6">
        <v>49.610000999999997</v>
      </c>
      <c r="C11" s="6">
        <v>82.209998999999996</v>
      </c>
      <c r="D11" s="6">
        <v>60.75</v>
      </c>
      <c r="E11" s="6">
        <v>21.74</v>
      </c>
      <c r="F11" s="6">
        <v>37.900002000000001</v>
      </c>
      <c r="G11" s="6">
        <v>94.989998</v>
      </c>
      <c r="H11" s="6">
        <v>56.389999000000003</v>
      </c>
      <c r="I11" s="4"/>
    </row>
    <row r="12" spans="1:9" x14ac:dyDescent="0.45">
      <c r="A12" s="5">
        <v>41708</v>
      </c>
      <c r="B12" s="6">
        <v>46.779998999999997</v>
      </c>
      <c r="C12" s="6">
        <v>80.069999999999993</v>
      </c>
      <c r="D12" s="6">
        <v>59.360000999999997</v>
      </c>
      <c r="E12" s="6">
        <v>20.940000999999999</v>
      </c>
      <c r="F12" s="6">
        <v>37.700001</v>
      </c>
      <c r="G12" s="6">
        <v>93.470000999999996</v>
      </c>
      <c r="H12" s="6">
        <v>55.192501</v>
      </c>
      <c r="I12" s="4"/>
    </row>
    <row r="13" spans="1:9" x14ac:dyDescent="0.45">
      <c r="A13" s="5">
        <v>41715</v>
      </c>
      <c r="B13" s="6">
        <v>47.630001</v>
      </c>
      <c r="C13" s="6">
        <v>80.349997999999999</v>
      </c>
      <c r="D13" s="6">
        <v>59.450001</v>
      </c>
      <c r="E13" s="6">
        <v>20.9</v>
      </c>
      <c r="F13" s="6">
        <v>40.159999999999997</v>
      </c>
      <c r="G13" s="6">
        <v>94.309997999999993</v>
      </c>
      <c r="H13" s="6">
        <v>55.842498999999997</v>
      </c>
      <c r="I13" s="4"/>
    </row>
    <row r="14" spans="1:9" x14ac:dyDescent="0.45">
      <c r="A14" s="5">
        <v>41722</v>
      </c>
      <c r="B14" s="6">
        <v>51.889999000000003</v>
      </c>
      <c r="C14" s="6">
        <v>78.989998</v>
      </c>
      <c r="D14" s="6">
        <v>59.98</v>
      </c>
      <c r="E14" s="6">
        <v>19.120000999999998</v>
      </c>
      <c r="F14" s="6">
        <v>40.299999</v>
      </c>
      <c r="G14" s="6">
        <v>97.699996999999996</v>
      </c>
      <c r="H14" s="6">
        <v>53.022499000000003</v>
      </c>
      <c r="I14" s="4"/>
    </row>
    <row r="15" spans="1:9" x14ac:dyDescent="0.45">
      <c r="A15" s="5">
        <v>41729</v>
      </c>
      <c r="B15" s="6">
        <v>54.18</v>
      </c>
      <c r="C15" s="6">
        <v>80.430000000000007</v>
      </c>
      <c r="D15" s="6">
        <v>61.139999000000003</v>
      </c>
      <c r="E15" s="6">
        <v>20.84</v>
      </c>
      <c r="F15" s="6">
        <v>39.869999</v>
      </c>
      <c r="G15" s="6">
        <v>97.360000999999997</v>
      </c>
      <c r="H15" s="6">
        <v>51.924999</v>
      </c>
      <c r="I15" s="4"/>
    </row>
    <row r="16" spans="1:9" x14ac:dyDescent="0.45">
      <c r="A16" s="5">
        <v>41736</v>
      </c>
      <c r="B16" s="6">
        <v>52.080002</v>
      </c>
      <c r="C16" s="6">
        <v>77.010002</v>
      </c>
      <c r="D16" s="6">
        <v>58.900002000000001</v>
      </c>
      <c r="E16" s="6">
        <v>19.850000000000001</v>
      </c>
      <c r="F16" s="6">
        <v>39.209999000000003</v>
      </c>
      <c r="G16" s="6">
        <v>96.720000999999996</v>
      </c>
      <c r="H16" s="6">
        <v>49.157501000000003</v>
      </c>
      <c r="I16" s="4"/>
    </row>
    <row r="17" spans="1:9" x14ac:dyDescent="0.45">
      <c r="A17" s="5">
        <v>41743</v>
      </c>
      <c r="B17" s="6">
        <v>51.709999000000003</v>
      </c>
      <c r="C17" s="6">
        <v>79.989998</v>
      </c>
      <c r="D17" s="6">
        <v>60</v>
      </c>
      <c r="E17" s="6">
        <v>19.719999000000001</v>
      </c>
      <c r="F17" s="6">
        <v>40.009998000000003</v>
      </c>
      <c r="G17" s="6">
        <v>100.41999800000001</v>
      </c>
      <c r="H17" s="6">
        <v>51.987499</v>
      </c>
      <c r="I17" s="4"/>
    </row>
    <row r="18" spans="1:9" x14ac:dyDescent="0.45">
      <c r="A18" s="5">
        <v>41750</v>
      </c>
      <c r="B18" s="6">
        <v>45.5</v>
      </c>
      <c r="C18" s="6">
        <v>78.230002999999996</v>
      </c>
      <c r="D18" s="6">
        <v>61.259998000000003</v>
      </c>
      <c r="E18" s="6">
        <v>19.120000999999998</v>
      </c>
      <c r="F18" s="6">
        <v>39.909999999999997</v>
      </c>
      <c r="G18" s="6">
        <v>100.410004</v>
      </c>
      <c r="H18" s="6">
        <v>49.732498</v>
      </c>
      <c r="I18" s="4"/>
    </row>
    <row r="19" spans="1:9" x14ac:dyDescent="0.45">
      <c r="A19" s="5">
        <v>41757</v>
      </c>
      <c r="B19" s="6">
        <v>45.450001</v>
      </c>
      <c r="C19" s="6">
        <v>80.309997999999993</v>
      </c>
      <c r="D19" s="6">
        <v>62.009998000000003</v>
      </c>
      <c r="E19" s="6">
        <v>19.209999</v>
      </c>
      <c r="F19" s="6">
        <v>39.689999</v>
      </c>
      <c r="G19" s="6">
        <v>102.010002</v>
      </c>
      <c r="H19" s="6">
        <v>51.104999999999997</v>
      </c>
      <c r="I19" s="4"/>
    </row>
    <row r="20" spans="1:9" x14ac:dyDescent="0.45">
      <c r="A20" s="5">
        <v>41764</v>
      </c>
      <c r="B20" s="6">
        <v>43.77</v>
      </c>
      <c r="C20" s="6">
        <v>81.949996999999996</v>
      </c>
      <c r="D20" s="6">
        <v>59.130001</v>
      </c>
      <c r="E20" s="6">
        <v>18.389999</v>
      </c>
      <c r="F20" s="6">
        <v>39.540000999999997</v>
      </c>
      <c r="G20" s="6">
        <v>101.949997</v>
      </c>
      <c r="H20" s="6">
        <v>52.702499000000003</v>
      </c>
      <c r="I20" s="4"/>
    </row>
    <row r="21" spans="1:9" x14ac:dyDescent="0.45">
      <c r="A21" s="5">
        <v>41771</v>
      </c>
      <c r="B21" s="6">
        <v>45.150002000000001</v>
      </c>
      <c r="C21" s="6">
        <v>80.389999000000003</v>
      </c>
      <c r="D21" s="6">
        <v>58.639999000000003</v>
      </c>
      <c r="E21" s="6">
        <v>17.48</v>
      </c>
      <c r="F21" s="6">
        <v>39.830002</v>
      </c>
      <c r="G21" s="6">
        <v>100.739998</v>
      </c>
      <c r="H21" s="6">
        <v>52.452499000000003</v>
      </c>
      <c r="I21" s="4"/>
    </row>
    <row r="22" spans="1:9" x14ac:dyDescent="0.45">
      <c r="A22" s="5">
        <v>41778</v>
      </c>
      <c r="B22" s="6">
        <v>45.299999</v>
      </c>
      <c r="C22" s="6">
        <v>83.32</v>
      </c>
      <c r="D22" s="6">
        <v>55.689999</v>
      </c>
      <c r="E22" s="6">
        <v>17.790001</v>
      </c>
      <c r="F22" s="6">
        <v>40.119999</v>
      </c>
      <c r="G22" s="6">
        <v>101.32</v>
      </c>
      <c r="H22" s="6">
        <v>53.017502</v>
      </c>
      <c r="I22" s="4"/>
    </row>
    <row r="23" spans="1:9" x14ac:dyDescent="0.45">
      <c r="A23" s="5">
        <v>41785</v>
      </c>
      <c r="B23" s="6">
        <v>44.630001</v>
      </c>
      <c r="C23" s="6">
        <v>84.010002</v>
      </c>
      <c r="D23" s="6">
        <v>56.759998000000003</v>
      </c>
      <c r="E23" s="6">
        <v>18.52</v>
      </c>
      <c r="F23" s="6">
        <v>40.939999</v>
      </c>
      <c r="G23" s="6">
        <v>100.529999</v>
      </c>
      <c r="H23" s="6">
        <v>53.707500000000003</v>
      </c>
      <c r="I23" s="4"/>
    </row>
    <row r="24" spans="1:9" x14ac:dyDescent="0.45">
      <c r="A24" s="5">
        <v>41792</v>
      </c>
      <c r="B24" s="6">
        <v>44.419998</v>
      </c>
      <c r="C24" s="6">
        <v>84.610000999999997</v>
      </c>
      <c r="D24" s="6">
        <v>57.68</v>
      </c>
      <c r="E24" s="6">
        <v>18.440000999999999</v>
      </c>
      <c r="F24" s="6">
        <v>41.48</v>
      </c>
      <c r="G24" s="6">
        <v>101.599998</v>
      </c>
      <c r="H24" s="6">
        <v>53.25</v>
      </c>
      <c r="I24" s="4"/>
    </row>
    <row r="25" spans="1:9" x14ac:dyDescent="0.45">
      <c r="A25" s="5">
        <v>41799</v>
      </c>
      <c r="B25" s="6">
        <v>37.610000999999997</v>
      </c>
      <c r="C25" s="6">
        <v>82.800003000000004</v>
      </c>
      <c r="D25" s="6">
        <v>57.23</v>
      </c>
      <c r="E25" s="6">
        <v>18.760000000000002</v>
      </c>
      <c r="F25" s="6">
        <v>41.23</v>
      </c>
      <c r="G25" s="6">
        <v>102.650002</v>
      </c>
      <c r="H25" s="6">
        <v>52.822498000000003</v>
      </c>
      <c r="I25" s="4"/>
    </row>
    <row r="26" spans="1:9" x14ac:dyDescent="0.45">
      <c r="A26" s="5">
        <v>41806</v>
      </c>
      <c r="B26" s="6">
        <v>40.229999999999997</v>
      </c>
      <c r="C26" s="6">
        <v>82.82</v>
      </c>
      <c r="D26" s="6">
        <v>58.290000999999997</v>
      </c>
      <c r="E26" s="6">
        <v>19.120000999999998</v>
      </c>
      <c r="F26" s="6">
        <v>41.68</v>
      </c>
      <c r="G26" s="6">
        <v>103.83000199999999</v>
      </c>
      <c r="H26" s="6">
        <v>52.372501</v>
      </c>
      <c r="I26" s="4"/>
    </row>
    <row r="27" spans="1:9" x14ac:dyDescent="0.45">
      <c r="A27" s="5">
        <v>41813</v>
      </c>
      <c r="B27" s="6">
        <v>40.419998</v>
      </c>
      <c r="C27" s="6">
        <v>85.300003000000004</v>
      </c>
      <c r="D27" s="6">
        <v>58.119999</v>
      </c>
      <c r="E27" s="6">
        <v>19.200001</v>
      </c>
      <c r="F27" s="6">
        <v>42.25</v>
      </c>
      <c r="G27" s="6">
        <v>101.209999</v>
      </c>
      <c r="H27" s="6">
        <v>52.32</v>
      </c>
      <c r="I27" s="4"/>
    </row>
    <row r="28" spans="1:9" x14ac:dyDescent="0.45">
      <c r="A28" s="5">
        <v>41820</v>
      </c>
      <c r="B28" s="6">
        <v>42.599997999999999</v>
      </c>
      <c r="C28" s="6">
        <v>86.839995999999999</v>
      </c>
      <c r="D28" s="6">
        <v>59.509998000000003</v>
      </c>
      <c r="E28" s="6">
        <v>19.59</v>
      </c>
      <c r="F28" s="6">
        <v>41.799999</v>
      </c>
      <c r="G28" s="6">
        <v>102.589996</v>
      </c>
      <c r="H28" s="6">
        <v>54.127499</v>
      </c>
      <c r="I28" s="4"/>
    </row>
    <row r="29" spans="1:9" x14ac:dyDescent="0.45">
      <c r="A29" s="5">
        <v>41827</v>
      </c>
      <c r="B29" s="6">
        <v>40.169998</v>
      </c>
      <c r="C29" s="6">
        <v>86.889999000000003</v>
      </c>
      <c r="D29" s="6">
        <v>60</v>
      </c>
      <c r="E29" s="6">
        <v>18.809999000000001</v>
      </c>
      <c r="F29" s="6">
        <v>42.09</v>
      </c>
      <c r="G29" s="6">
        <v>101.739998</v>
      </c>
      <c r="H29" s="6">
        <v>54.25</v>
      </c>
      <c r="I29" s="4"/>
    </row>
    <row r="30" spans="1:9" x14ac:dyDescent="0.45">
      <c r="A30" s="5">
        <v>41834</v>
      </c>
      <c r="B30" s="6">
        <v>38.150002000000001</v>
      </c>
      <c r="C30" s="6">
        <v>85.809997999999993</v>
      </c>
      <c r="D30" s="6">
        <v>60.009998000000003</v>
      </c>
      <c r="E30" s="6">
        <v>18.52</v>
      </c>
      <c r="F30" s="6">
        <v>44.689999</v>
      </c>
      <c r="G30" s="6">
        <v>102.730003</v>
      </c>
      <c r="H30" s="6">
        <v>55.049999</v>
      </c>
      <c r="I30" s="4"/>
    </row>
    <row r="31" spans="1:9" x14ac:dyDescent="0.45">
      <c r="A31" s="5">
        <v>41841</v>
      </c>
      <c r="B31" s="6">
        <v>39.029998999999997</v>
      </c>
      <c r="C31" s="6">
        <v>86.230002999999996</v>
      </c>
      <c r="D31" s="6">
        <v>60.389999000000003</v>
      </c>
      <c r="E31" s="6">
        <v>17.59</v>
      </c>
      <c r="F31" s="6">
        <v>44.5</v>
      </c>
      <c r="G31" s="6">
        <v>103.18</v>
      </c>
      <c r="H31" s="6">
        <v>53.692501</v>
      </c>
      <c r="I31" s="4"/>
    </row>
    <row r="32" spans="1:9" x14ac:dyDescent="0.45">
      <c r="A32" s="5">
        <v>41848</v>
      </c>
      <c r="B32" s="6">
        <v>38.299999</v>
      </c>
      <c r="C32" s="6">
        <v>85.379997000000003</v>
      </c>
      <c r="D32" s="6">
        <v>59.849997999999999</v>
      </c>
      <c r="E32" s="6">
        <v>17.620000999999998</v>
      </c>
      <c r="F32" s="6">
        <v>42.860000999999997</v>
      </c>
      <c r="G32" s="6">
        <v>98.800003000000004</v>
      </c>
      <c r="H32" s="6">
        <v>52.952499000000003</v>
      </c>
      <c r="I32" s="4"/>
    </row>
    <row r="33" spans="1:9" x14ac:dyDescent="0.45">
      <c r="A33" s="5">
        <v>41855</v>
      </c>
      <c r="B33" s="6">
        <v>40.110000999999997</v>
      </c>
      <c r="C33" s="6">
        <v>86.849997999999999</v>
      </c>
      <c r="D33" s="6">
        <v>58.540000999999997</v>
      </c>
      <c r="E33" s="6">
        <v>18.52</v>
      </c>
      <c r="F33" s="6">
        <v>43.200001</v>
      </c>
      <c r="G33" s="6">
        <v>99.739998</v>
      </c>
      <c r="H33" s="6">
        <v>52.615001999999997</v>
      </c>
      <c r="I33" s="4"/>
    </row>
    <row r="34" spans="1:9" x14ac:dyDescent="0.45">
      <c r="A34" s="5">
        <v>41862</v>
      </c>
      <c r="B34" s="6">
        <v>38.369999</v>
      </c>
      <c r="C34" s="6">
        <v>89.279999000000004</v>
      </c>
      <c r="D34" s="6">
        <v>58.200001</v>
      </c>
      <c r="E34" s="6">
        <v>18.690000999999999</v>
      </c>
      <c r="F34" s="6">
        <v>44.790000999999997</v>
      </c>
      <c r="G34" s="6">
        <v>99.029999000000004</v>
      </c>
      <c r="H34" s="6">
        <v>52.547500999999997</v>
      </c>
      <c r="I34" s="4"/>
    </row>
    <row r="35" spans="1:9" x14ac:dyDescent="0.45">
      <c r="A35" s="5">
        <v>41869</v>
      </c>
      <c r="B35" s="6">
        <v>40.450001</v>
      </c>
      <c r="C35" s="6">
        <v>90.489998</v>
      </c>
      <c r="D35" s="6">
        <v>61.049999</v>
      </c>
      <c r="E35" s="6">
        <v>18.5</v>
      </c>
      <c r="F35" s="6">
        <v>45.150002000000001</v>
      </c>
      <c r="G35" s="6">
        <v>98.5</v>
      </c>
      <c r="H35" s="6">
        <v>54.022499000000003</v>
      </c>
      <c r="I35" s="4"/>
    </row>
    <row r="36" spans="1:9" x14ac:dyDescent="0.45">
      <c r="A36" s="5">
        <v>41876</v>
      </c>
      <c r="B36" s="6">
        <v>39.93</v>
      </c>
      <c r="C36" s="6">
        <v>89.879997000000003</v>
      </c>
      <c r="D36" s="6">
        <v>60.07</v>
      </c>
      <c r="E36" s="6">
        <v>18.329999999999998</v>
      </c>
      <c r="F36" s="6">
        <v>45.43</v>
      </c>
      <c r="G36" s="6">
        <v>99.459998999999996</v>
      </c>
      <c r="H36" s="6">
        <v>53.130001</v>
      </c>
      <c r="I36" s="4"/>
    </row>
    <row r="37" spans="1:9" x14ac:dyDescent="0.45">
      <c r="A37" s="5">
        <v>41883</v>
      </c>
      <c r="B37" s="6">
        <v>39.139999000000003</v>
      </c>
      <c r="C37" s="6">
        <v>90.940002000000007</v>
      </c>
      <c r="D37" s="6">
        <v>61.080002</v>
      </c>
      <c r="E37" s="6">
        <v>18.48</v>
      </c>
      <c r="F37" s="6">
        <v>45.91</v>
      </c>
      <c r="G37" s="6">
        <v>99.260002</v>
      </c>
      <c r="H37" s="6">
        <v>53.552501999999997</v>
      </c>
      <c r="I37" s="4"/>
    </row>
    <row r="38" spans="1:9" x14ac:dyDescent="0.45">
      <c r="A38" s="5">
        <v>41890</v>
      </c>
      <c r="B38" s="6">
        <v>45.189999</v>
      </c>
      <c r="C38" s="6">
        <v>89.669998000000007</v>
      </c>
      <c r="D38" s="6">
        <v>62.529998999999997</v>
      </c>
      <c r="E38" s="6">
        <v>19.329999999999998</v>
      </c>
      <c r="F38" s="6">
        <v>46.700001</v>
      </c>
      <c r="G38" s="6">
        <v>95.779999000000004</v>
      </c>
      <c r="H38" s="6">
        <v>53.509998000000003</v>
      </c>
      <c r="I38" s="4"/>
    </row>
    <row r="39" spans="1:9" x14ac:dyDescent="0.45">
      <c r="A39" s="5">
        <v>41897</v>
      </c>
      <c r="B39" s="6">
        <v>43.240001999999997</v>
      </c>
      <c r="C39" s="6">
        <v>90.489998</v>
      </c>
      <c r="D39" s="6">
        <v>63.810001</v>
      </c>
      <c r="E39" s="6">
        <v>19.649999999999999</v>
      </c>
      <c r="F39" s="6">
        <v>47.52</v>
      </c>
      <c r="G39" s="6">
        <v>97.120002999999997</v>
      </c>
      <c r="H39" s="6">
        <v>54.0625</v>
      </c>
      <c r="I39" s="4"/>
    </row>
    <row r="40" spans="1:9" x14ac:dyDescent="0.45">
      <c r="A40" s="5">
        <v>41904</v>
      </c>
      <c r="B40" s="6">
        <v>42.990001999999997</v>
      </c>
      <c r="C40" s="6">
        <v>88.739998</v>
      </c>
      <c r="D40" s="6">
        <v>63.150002000000001</v>
      </c>
      <c r="E40" s="6">
        <v>19.700001</v>
      </c>
      <c r="F40" s="6">
        <v>46.41</v>
      </c>
      <c r="G40" s="6">
        <v>95.43</v>
      </c>
      <c r="H40" s="6">
        <v>52.985000999999997</v>
      </c>
      <c r="I40" s="4"/>
    </row>
    <row r="41" spans="1:9" x14ac:dyDescent="0.45">
      <c r="A41" s="5">
        <v>41911</v>
      </c>
      <c r="B41" s="6">
        <v>42.07</v>
      </c>
      <c r="C41" s="6">
        <v>88.449996999999996</v>
      </c>
      <c r="D41" s="6">
        <v>63.07</v>
      </c>
      <c r="E41" s="6">
        <v>20.290001</v>
      </c>
      <c r="F41" s="6">
        <v>46.09</v>
      </c>
      <c r="G41" s="6">
        <v>93.919998000000007</v>
      </c>
      <c r="H41" s="6">
        <v>52.997501</v>
      </c>
      <c r="I41" s="4"/>
    </row>
    <row r="42" spans="1:9" x14ac:dyDescent="0.45">
      <c r="A42" s="5">
        <v>41918</v>
      </c>
      <c r="B42" s="6">
        <v>40.349997999999999</v>
      </c>
      <c r="C42" s="6">
        <v>86.269997000000004</v>
      </c>
      <c r="D42" s="6">
        <v>60.59</v>
      </c>
      <c r="E42" s="6">
        <v>22.02</v>
      </c>
      <c r="F42" s="6">
        <v>44.029998999999997</v>
      </c>
      <c r="G42" s="6">
        <v>91.599997999999999</v>
      </c>
      <c r="H42" s="6">
        <v>51.244999</v>
      </c>
      <c r="I42" s="4"/>
    </row>
    <row r="43" spans="1:9" x14ac:dyDescent="0.45">
      <c r="A43" s="5">
        <v>41925</v>
      </c>
      <c r="B43" s="6">
        <v>38.840000000000003</v>
      </c>
      <c r="C43" s="6">
        <v>83.830001999999993</v>
      </c>
      <c r="D43" s="6">
        <v>59.07</v>
      </c>
      <c r="E43" s="6">
        <v>22.209999</v>
      </c>
      <c r="F43" s="6">
        <v>43.630001</v>
      </c>
      <c r="G43" s="6">
        <v>91.209998999999996</v>
      </c>
      <c r="H43" s="6">
        <v>51.5</v>
      </c>
      <c r="I43" s="4"/>
    </row>
    <row r="44" spans="1:9" x14ac:dyDescent="0.45">
      <c r="A44" s="5">
        <v>41932</v>
      </c>
      <c r="B44" s="6">
        <v>41.400002000000001</v>
      </c>
      <c r="C44" s="6">
        <v>88.610000999999997</v>
      </c>
      <c r="D44" s="6">
        <v>61.57</v>
      </c>
      <c r="E44" s="6">
        <v>24.75</v>
      </c>
      <c r="F44" s="6">
        <v>46.130001</v>
      </c>
      <c r="G44" s="6">
        <v>94.489998</v>
      </c>
      <c r="H44" s="6">
        <v>53.369999</v>
      </c>
      <c r="I44" s="4"/>
    </row>
    <row r="45" spans="1:9" x14ac:dyDescent="0.45">
      <c r="A45" s="5">
        <v>41939</v>
      </c>
      <c r="B45" s="6">
        <v>41.650002000000001</v>
      </c>
      <c r="C45" s="6">
        <v>91.379997000000003</v>
      </c>
      <c r="D45" s="6">
        <v>61.82</v>
      </c>
      <c r="E45" s="6">
        <v>25.120000999999998</v>
      </c>
      <c r="F45" s="6">
        <v>46.950001</v>
      </c>
      <c r="G45" s="6">
        <v>96.709998999999996</v>
      </c>
      <c r="H45" s="6">
        <v>60.357498</v>
      </c>
      <c r="I45" s="4"/>
    </row>
    <row r="46" spans="1:9" x14ac:dyDescent="0.45">
      <c r="A46" s="5">
        <v>41946</v>
      </c>
      <c r="B46" s="6">
        <v>43.759998000000003</v>
      </c>
      <c r="C46" s="6">
        <v>90</v>
      </c>
      <c r="D46" s="6">
        <v>64.169998000000007</v>
      </c>
      <c r="E46" s="6">
        <v>24.549999</v>
      </c>
      <c r="F46" s="6">
        <v>48.68</v>
      </c>
      <c r="G46" s="6">
        <v>96.589995999999999</v>
      </c>
      <c r="H46" s="6">
        <v>63.107498</v>
      </c>
      <c r="I46" s="4"/>
    </row>
    <row r="47" spans="1:9" x14ac:dyDescent="0.45">
      <c r="A47" s="5">
        <v>41953</v>
      </c>
      <c r="B47" s="6">
        <v>44.990001999999997</v>
      </c>
      <c r="C47" s="6">
        <v>90.800003000000004</v>
      </c>
      <c r="D47" s="6">
        <v>68.129997000000003</v>
      </c>
      <c r="E47" s="6">
        <v>26.290001</v>
      </c>
      <c r="F47" s="6">
        <v>49.580002</v>
      </c>
      <c r="G47" s="6">
        <v>95.089995999999999</v>
      </c>
      <c r="H47" s="6">
        <v>62.209999000000003</v>
      </c>
      <c r="I47" s="4"/>
    </row>
    <row r="48" spans="1:9" x14ac:dyDescent="0.45">
      <c r="A48" s="5">
        <v>41960</v>
      </c>
      <c r="B48" s="6">
        <v>46.91</v>
      </c>
      <c r="C48" s="6">
        <v>88.959998999999996</v>
      </c>
      <c r="D48" s="6">
        <v>71.510002</v>
      </c>
      <c r="E48" s="6">
        <v>25.549999</v>
      </c>
      <c r="F48" s="6">
        <v>47.98</v>
      </c>
      <c r="G48" s="6">
        <v>96.809997999999993</v>
      </c>
      <c r="H48" s="6">
        <v>63.555</v>
      </c>
      <c r="I48" s="4"/>
    </row>
    <row r="49" spans="1:9" x14ac:dyDescent="0.45">
      <c r="A49" s="5">
        <v>41967</v>
      </c>
      <c r="B49" s="6">
        <v>48.189999</v>
      </c>
      <c r="C49" s="6">
        <v>92.510002</v>
      </c>
      <c r="D49" s="6">
        <v>74</v>
      </c>
      <c r="E49" s="6">
        <v>25.139999</v>
      </c>
      <c r="F49" s="6">
        <v>47.810001</v>
      </c>
      <c r="G49" s="6">
        <v>90.540001000000004</v>
      </c>
      <c r="H49" s="6">
        <v>64.547500999999997</v>
      </c>
      <c r="I49" s="4"/>
    </row>
    <row r="50" spans="1:9" x14ac:dyDescent="0.45">
      <c r="A50" s="5">
        <v>41974</v>
      </c>
      <c r="B50" s="6">
        <v>45.509998000000003</v>
      </c>
      <c r="C50" s="6">
        <v>93.760002</v>
      </c>
      <c r="D50" s="6">
        <v>73.660004000000001</v>
      </c>
      <c r="E50" s="6">
        <v>24.67</v>
      </c>
      <c r="F50" s="6">
        <v>48.419998</v>
      </c>
      <c r="G50" s="6">
        <v>93.82</v>
      </c>
      <c r="H50" s="6">
        <v>65.837502000000001</v>
      </c>
      <c r="I50" s="4"/>
    </row>
    <row r="51" spans="1:9" x14ac:dyDescent="0.45">
      <c r="A51" s="5">
        <v>41981</v>
      </c>
      <c r="B51" s="6">
        <v>52.950001</v>
      </c>
      <c r="C51" s="6">
        <v>91.489998</v>
      </c>
      <c r="D51" s="6">
        <v>72.400002000000001</v>
      </c>
      <c r="E51" s="6">
        <v>23.83</v>
      </c>
      <c r="F51" s="6">
        <v>46.950001</v>
      </c>
      <c r="G51" s="6">
        <v>86.599997999999999</v>
      </c>
      <c r="H51" s="6">
        <v>64.194999999999993</v>
      </c>
      <c r="I51" s="4"/>
    </row>
    <row r="52" spans="1:9" x14ac:dyDescent="0.45">
      <c r="A52" s="5">
        <v>41988</v>
      </c>
      <c r="B52" s="6">
        <v>53.5</v>
      </c>
      <c r="C52" s="6">
        <v>92.889999000000003</v>
      </c>
      <c r="D52" s="6">
        <v>73.949996999999996</v>
      </c>
      <c r="E52" s="6">
        <v>23.049999</v>
      </c>
      <c r="F52" s="6">
        <v>47.66</v>
      </c>
      <c r="G52" s="6">
        <v>93.639999000000003</v>
      </c>
      <c r="H52" s="6">
        <v>65.417502999999996</v>
      </c>
      <c r="I52" s="4"/>
    </row>
    <row r="53" spans="1:9" x14ac:dyDescent="0.45">
      <c r="A53" s="5">
        <v>41995</v>
      </c>
      <c r="B53" s="6">
        <v>54.77</v>
      </c>
      <c r="C53" s="6">
        <v>95.029999000000004</v>
      </c>
      <c r="D53" s="6">
        <v>75.059997999999993</v>
      </c>
      <c r="E53" s="6">
        <v>23.459999</v>
      </c>
      <c r="F53" s="6">
        <v>47.880001</v>
      </c>
      <c r="G53" s="6">
        <v>93.209998999999996</v>
      </c>
      <c r="H53" s="6">
        <v>66.654999000000004</v>
      </c>
      <c r="I53" s="4"/>
    </row>
    <row r="54" spans="1:9" x14ac:dyDescent="0.45">
      <c r="A54" s="5">
        <v>42002</v>
      </c>
      <c r="B54" s="6">
        <v>55.34</v>
      </c>
      <c r="C54" s="6">
        <v>93.75</v>
      </c>
      <c r="D54" s="6">
        <v>75.330001999999993</v>
      </c>
      <c r="E54" s="6">
        <v>22.389999</v>
      </c>
      <c r="F54" s="6">
        <v>46.759998000000003</v>
      </c>
      <c r="G54" s="6">
        <v>92.830001999999993</v>
      </c>
      <c r="H54" s="6">
        <v>66.254997000000003</v>
      </c>
      <c r="I54" s="4"/>
    </row>
    <row r="55" spans="1:9" x14ac:dyDescent="0.45">
      <c r="A55" s="5">
        <v>42009</v>
      </c>
      <c r="B55" s="6">
        <v>58.630001</v>
      </c>
      <c r="C55" s="6">
        <v>94.25</v>
      </c>
      <c r="D55" s="6">
        <v>76.430000000000007</v>
      </c>
      <c r="E55" s="6">
        <v>22.190000999999999</v>
      </c>
      <c r="F55" s="6">
        <v>47.189999</v>
      </c>
      <c r="G55" s="6">
        <v>92.099997999999999</v>
      </c>
      <c r="H55" s="6">
        <v>65.132499999999993</v>
      </c>
      <c r="I55" s="4"/>
    </row>
    <row r="56" spans="1:9" x14ac:dyDescent="0.45">
      <c r="A56" s="5">
        <v>42016</v>
      </c>
      <c r="B56" s="6">
        <v>63</v>
      </c>
      <c r="C56" s="6">
        <v>95.18</v>
      </c>
      <c r="D56" s="6">
        <v>74.940002000000007</v>
      </c>
      <c r="E56" s="6">
        <v>22.790001</v>
      </c>
      <c r="F56" s="6">
        <v>46.240001999999997</v>
      </c>
      <c r="G56" s="6">
        <v>91.120002999999997</v>
      </c>
      <c r="H56" s="6">
        <v>63.737499</v>
      </c>
      <c r="I56" s="4"/>
    </row>
    <row r="57" spans="1:9" x14ac:dyDescent="0.45">
      <c r="A57" s="5">
        <v>42023</v>
      </c>
      <c r="B57" s="6">
        <v>66.199996999999996</v>
      </c>
      <c r="C57" s="6">
        <v>94.720000999999996</v>
      </c>
      <c r="D57" s="6">
        <v>75.290001000000004</v>
      </c>
      <c r="E57" s="6">
        <v>23.139999</v>
      </c>
      <c r="F57" s="6">
        <v>47.18</v>
      </c>
      <c r="G57" s="6">
        <v>90.889999000000003</v>
      </c>
      <c r="H57" s="6">
        <v>64.572502</v>
      </c>
      <c r="I57" s="4"/>
    </row>
    <row r="58" spans="1:9" x14ac:dyDescent="0.45">
      <c r="A58" s="5">
        <v>42030</v>
      </c>
      <c r="B58" s="6">
        <v>66.239998</v>
      </c>
      <c r="C58" s="6">
        <v>90.959998999999996</v>
      </c>
      <c r="D58" s="6">
        <v>73.610000999999997</v>
      </c>
      <c r="E58" s="6">
        <v>21.74</v>
      </c>
      <c r="F58" s="6">
        <v>40.400002000000001</v>
      </c>
      <c r="G58" s="6">
        <v>87.419998000000007</v>
      </c>
      <c r="H58" s="6">
        <v>63.727500999999997</v>
      </c>
      <c r="I58" s="4"/>
    </row>
    <row r="59" spans="1:9" x14ac:dyDescent="0.45">
      <c r="A59" s="5">
        <v>42037</v>
      </c>
      <c r="B59" s="6">
        <v>64.440002000000007</v>
      </c>
      <c r="C59" s="6">
        <v>102.019997</v>
      </c>
      <c r="D59" s="6">
        <v>76.360000999999997</v>
      </c>
      <c r="E59" s="6">
        <v>22.799999</v>
      </c>
      <c r="F59" s="6">
        <v>42.41</v>
      </c>
      <c r="G59" s="6">
        <v>91.5</v>
      </c>
      <c r="H59" s="6">
        <v>66.855002999999996</v>
      </c>
      <c r="I59" s="4"/>
    </row>
    <row r="60" spans="1:9" x14ac:dyDescent="0.45">
      <c r="A60" s="5">
        <v>42044</v>
      </c>
      <c r="B60" s="6">
        <v>65.980002999999996</v>
      </c>
      <c r="C60" s="6">
        <v>104.16999800000001</v>
      </c>
      <c r="D60" s="6">
        <v>76.120002999999997</v>
      </c>
      <c r="E60" s="6">
        <v>21.879999000000002</v>
      </c>
      <c r="F60" s="6">
        <v>43.869999</v>
      </c>
      <c r="G60" s="6">
        <v>93.370002999999997</v>
      </c>
      <c r="H60" s="6">
        <v>67.407500999999996</v>
      </c>
      <c r="I60" s="4"/>
    </row>
    <row r="61" spans="1:9" x14ac:dyDescent="0.45">
      <c r="A61" s="5">
        <v>42051</v>
      </c>
      <c r="B61" s="6">
        <v>67.370002999999997</v>
      </c>
      <c r="C61" s="6">
        <v>104.550003</v>
      </c>
      <c r="D61" s="6">
        <v>76.870002999999997</v>
      </c>
      <c r="E61" s="6">
        <v>22.5</v>
      </c>
      <c r="F61" s="6">
        <v>43.860000999999997</v>
      </c>
      <c r="G61" s="6">
        <v>89.919998000000007</v>
      </c>
      <c r="H61" s="6">
        <v>68.25</v>
      </c>
      <c r="I61" s="4"/>
    </row>
    <row r="62" spans="1:9" x14ac:dyDescent="0.45">
      <c r="A62" s="5">
        <v>42058</v>
      </c>
      <c r="B62" s="6">
        <v>68.440002000000007</v>
      </c>
      <c r="C62" s="6">
        <v>104.08000199999999</v>
      </c>
      <c r="D62" s="6">
        <v>76.830001999999993</v>
      </c>
      <c r="E62" s="6">
        <v>22.41</v>
      </c>
      <c r="F62" s="6">
        <v>43.849997999999999</v>
      </c>
      <c r="G62" s="6">
        <v>88.540001000000004</v>
      </c>
      <c r="H62" s="6">
        <v>67.827499000000003</v>
      </c>
      <c r="I62" s="4"/>
    </row>
    <row r="63" spans="1:9" x14ac:dyDescent="0.45">
      <c r="A63" s="5">
        <v>42065</v>
      </c>
      <c r="B63" s="6">
        <v>62.299999</v>
      </c>
      <c r="C63" s="6">
        <v>103.82</v>
      </c>
      <c r="D63" s="6">
        <v>77.209998999999996</v>
      </c>
      <c r="E63" s="6">
        <v>21.34</v>
      </c>
      <c r="F63" s="6">
        <v>42.360000999999997</v>
      </c>
      <c r="G63" s="6">
        <v>85.629997000000003</v>
      </c>
      <c r="H63" s="6">
        <v>67.334998999999996</v>
      </c>
      <c r="I63" s="4"/>
    </row>
    <row r="64" spans="1:9" x14ac:dyDescent="0.45">
      <c r="A64" s="5">
        <v>42072</v>
      </c>
      <c r="B64" s="6">
        <v>63.119999</v>
      </c>
      <c r="C64" s="6">
        <v>106.44000200000001</v>
      </c>
      <c r="D64" s="6">
        <v>79.180000000000007</v>
      </c>
      <c r="E64" s="6">
        <v>22.540001</v>
      </c>
      <c r="F64" s="6">
        <v>41.380001</v>
      </c>
      <c r="G64" s="6">
        <v>83.870002999999997</v>
      </c>
      <c r="H64" s="6">
        <v>66.257499999999993</v>
      </c>
      <c r="I64" s="4"/>
    </row>
    <row r="65" spans="1:9" x14ac:dyDescent="0.45">
      <c r="A65" s="5">
        <v>42079</v>
      </c>
      <c r="B65" s="6">
        <v>65.739998</v>
      </c>
      <c r="C65" s="6">
        <v>108.43</v>
      </c>
      <c r="D65" s="6">
        <v>81.309997999999993</v>
      </c>
      <c r="E65" s="6">
        <v>24.049999</v>
      </c>
      <c r="F65" s="6">
        <v>42.880001</v>
      </c>
      <c r="G65" s="6">
        <v>84.540001000000004</v>
      </c>
      <c r="H65" s="6">
        <v>67.410004000000001</v>
      </c>
      <c r="I65" s="4"/>
    </row>
    <row r="66" spans="1:9" x14ac:dyDescent="0.45">
      <c r="A66" s="5">
        <v>42086</v>
      </c>
      <c r="B66" s="6">
        <v>64.319999999999993</v>
      </c>
      <c r="C66" s="6">
        <v>105.480003</v>
      </c>
      <c r="D66" s="6">
        <v>81.559997999999993</v>
      </c>
      <c r="E66" s="6">
        <v>24.1</v>
      </c>
      <c r="F66" s="6">
        <v>40.970001000000003</v>
      </c>
      <c r="G66" s="6">
        <v>83.580001999999993</v>
      </c>
      <c r="H66" s="6">
        <v>65.540001000000004</v>
      </c>
      <c r="I66" s="4"/>
    </row>
    <row r="67" spans="1:9" x14ac:dyDescent="0.45">
      <c r="A67" s="5">
        <v>42093</v>
      </c>
      <c r="B67" s="6">
        <v>63.349997999999999</v>
      </c>
      <c r="C67" s="6">
        <v>106</v>
      </c>
      <c r="D67" s="6">
        <v>82.669998000000007</v>
      </c>
      <c r="E67" s="6">
        <v>24.58</v>
      </c>
      <c r="F67" s="6">
        <v>40.290000999999997</v>
      </c>
      <c r="G67" s="6">
        <v>84.300003000000004</v>
      </c>
      <c r="H67" s="6">
        <v>65.290001000000004</v>
      </c>
      <c r="I67" s="4"/>
    </row>
    <row r="68" spans="1:9" x14ac:dyDescent="0.45">
      <c r="A68" s="5">
        <v>42100</v>
      </c>
      <c r="B68" s="6">
        <v>68.860000999999997</v>
      </c>
      <c r="C68" s="6">
        <v>106.949997</v>
      </c>
      <c r="D68" s="6">
        <v>83.57</v>
      </c>
      <c r="E68" s="6">
        <v>23.91</v>
      </c>
      <c r="F68" s="6">
        <v>41.720001000000003</v>
      </c>
      <c r="G68" s="6">
        <v>85.559997999999993</v>
      </c>
      <c r="H68" s="6">
        <v>66.339995999999999</v>
      </c>
      <c r="I68" s="4"/>
    </row>
    <row r="69" spans="1:9" x14ac:dyDescent="0.45">
      <c r="A69" s="5">
        <v>42107</v>
      </c>
      <c r="B69" s="6">
        <v>66.699996999999996</v>
      </c>
      <c r="C69" s="6">
        <v>106.69000200000001</v>
      </c>
      <c r="D69" s="6">
        <v>80.019997000000004</v>
      </c>
      <c r="E69" s="6">
        <v>23.58</v>
      </c>
      <c r="F69" s="6">
        <v>41.619999</v>
      </c>
      <c r="G69" s="6">
        <v>86.93</v>
      </c>
      <c r="H69" s="6">
        <v>64.519997000000004</v>
      </c>
      <c r="I69" s="4"/>
    </row>
    <row r="70" spans="1:9" x14ac:dyDescent="0.45">
      <c r="A70" s="5">
        <v>42114</v>
      </c>
      <c r="B70" s="6">
        <v>66.940002000000007</v>
      </c>
      <c r="C70" s="6">
        <v>109.529999</v>
      </c>
      <c r="D70" s="6">
        <v>82.699996999999996</v>
      </c>
      <c r="E70" s="6">
        <v>23.25</v>
      </c>
      <c r="F70" s="6">
        <v>47.869999</v>
      </c>
      <c r="G70" s="6">
        <v>86.970000999999996</v>
      </c>
      <c r="H70" s="6">
        <v>67.480002999999996</v>
      </c>
      <c r="I70" s="4"/>
    </row>
    <row r="71" spans="1:9" x14ac:dyDescent="0.45">
      <c r="A71" s="5">
        <v>42121</v>
      </c>
      <c r="B71" s="6">
        <v>63.57</v>
      </c>
      <c r="C71" s="6">
        <v>110.519997</v>
      </c>
      <c r="D71" s="6">
        <v>79.650002000000001</v>
      </c>
      <c r="E71" s="6">
        <v>22.42</v>
      </c>
      <c r="F71" s="6">
        <v>48.66</v>
      </c>
      <c r="G71" s="6">
        <v>88.849997999999999</v>
      </c>
      <c r="H71" s="6">
        <v>65.769997000000004</v>
      </c>
      <c r="I71" s="4"/>
    </row>
    <row r="72" spans="1:9" x14ac:dyDescent="0.45">
      <c r="A72" s="5">
        <v>42128</v>
      </c>
      <c r="B72" s="6">
        <v>65.489998</v>
      </c>
      <c r="C72" s="6">
        <v>110.110001</v>
      </c>
      <c r="D72" s="6">
        <v>80.739998</v>
      </c>
      <c r="E72" s="6">
        <v>21.940000999999999</v>
      </c>
      <c r="F72" s="6">
        <v>47.75</v>
      </c>
      <c r="G72" s="6">
        <v>88.989998</v>
      </c>
      <c r="H72" s="6">
        <v>69.470000999999996</v>
      </c>
      <c r="I72" s="4"/>
    </row>
    <row r="73" spans="1:9" x14ac:dyDescent="0.45">
      <c r="A73" s="5">
        <v>42135</v>
      </c>
      <c r="B73" s="6">
        <v>64.489998</v>
      </c>
      <c r="C73" s="6">
        <v>110.300003</v>
      </c>
      <c r="D73" s="6">
        <v>78.529999000000004</v>
      </c>
      <c r="E73" s="6">
        <v>21.110001</v>
      </c>
      <c r="F73" s="6">
        <v>48.299999</v>
      </c>
      <c r="G73" s="6">
        <v>87.349997999999999</v>
      </c>
      <c r="H73" s="6">
        <v>69.569999999999993</v>
      </c>
      <c r="I73" s="4"/>
    </row>
    <row r="74" spans="1:9" x14ac:dyDescent="0.45">
      <c r="A74" s="5">
        <v>42142</v>
      </c>
      <c r="B74" s="6">
        <v>61.16</v>
      </c>
      <c r="C74" s="6">
        <v>110.260002</v>
      </c>
      <c r="D74" s="6">
        <v>79.290001000000004</v>
      </c>
      <c r="E74" s="6">
        <v>20.48</v>
      </c>
      <c r="F74" s="6">
        <v>46.900002000000001</v>
      </c>
      <c r="G74" s="6">
        <v>86.519997000000004</v>
      </c>
      <c r="H74" s="6">
        <v>69.620002999999997</v>
      </c>
      <c r="I74" s="4"/>
    </row>
    <row r="75" spans="1:9" x14ac:dyDescent="0.45">
      <c r="A75" s="5">
        <v>42149</v>
      </c>
      <c r="B75" s="6">
        <v>59.790000999999997</v>
      </c>
      <c r="C75" s="6">
        <v>110.370003</v>
      </c>
      <c r="D75" s="6">
        <v>79.319999999999993</v>
      </c>
      <c r="E75" s="6">
        <v>20.700001</v>
      </c>
      <c r="F75" s="6">
        <v>46.860000999999997</v>
      </c>
      <c r="G75" s="6">
        <v>85.199996999999996</v>
      </c>
      <c r="H75" s="6">
        <v>68.680000000000007</v>
      </c>
      <c r="I75" s="4"/>
    </row>
    <row r="76" spans="1:9" x14ac:dyDescent="0.45">
      <c r="A76" s="5">
        <v>42156</v>
      </c>
      <c r="B76" s="6">
        <v>63.799999</v>
      </c>
      <c r="C76" s="6">
        <v>110.300003</v>
      </c>
      <c r="D76" s="6">
        <v>79.199996999999996</v>
      </c>
      <c r="E76" s="6">
        <v>21.719999000000001</v>
      </c>
      <c r="F76" s="6">
        <v>46.139999000000003</v>
      </c>
      <c r="G76" s="6">
        <v>84.279999000000004</v>
      </c>
      <c r="H76" s="6">
        <v>68.370002999999997</v>
      </c>
      <c r="I76" s="4"/>
    </row>
    <row r="77" spans="1:9" x14ac:dyDescent="0.45">
      <c r="A77" s="5">
        <v>42163</v>
      </c>
      <c r="B77" s="6">
        <v>66.480002999999996</v>
      </c>
      <c r="C77" s="6">
        <v>109.949997</v>
      </c>
      <c r="D77" s="6">
        <v>79.470000999999996</v>
      </c>
      <c r="E77" s="6">
        <v>21.940000999999999</v>
      </c>
      <c r="F77" s="6">
        <v>45.970001000000003</v>
      </c>
      <c r="G77" s="6">
        <v>84.019997000000004</v>
      </c>
      <c r="H77" s="6">
        <v>69.330001999999993</v>
      </c>
      <c r="I77" s="4"/>
    </row>
    <row r="78" spans="1:9" x14ac:dyDescent="0.45">
      <c r="A78" s="5">
        <v>42170</v>
      </c>
      <c r="B78" s="6">
        <v>65.989998</v>
      </c>
      <c r="C78" s="6">
        <v>112.620003</v>
      </c>
      <c r="D78" s="6">
        <v>83.349997999999999</v>
      </c>
      <c r="E78" s="6">
        <v>23.059999000000001</v>
      </c>
      <c r="F78" s="6">
        <v>46.099997999999999</v>
      </c>
      <c r="G78" s="6">
        <v>85.209998999999996</v>
      </c>
      <c r="H78" s="6">
        <v>68.690002000000007</v>
      </c>
      <c r="I78" s="4"/>
    </row>
    <row r="79" spans="1:9" x14ac:dyDescent="0.45">
      <c r="A79" s="5">
        <v>42177</v>
      </c>
      <c r="B79" s="6">
        <v>67.089995999999999</v>
      </c>
      <c r="C79" s="6">
        <v>114.989998</v>
      </c>
      <c r="D79" s="6">
        <v>84.080001999999993</v>
      </c>
      <c r="E79" s="6">
        <v>23.219999000000001</v>
      </c>
      <c r="F79" s="6">
        <v>45.259998000000003</v>
      </c>
      <c r="G79" s="6">
        <v>83.860000999999997</v>
      </c>
      <c r="H79" s="6">
        <v>68.75</v>
      </c>
      <c r="I79" s="4"/>
    </row>
    <row r="80" spans="1:9" x14ac:dyDescent="0.45">
      <c r="A80" s="5">
        <v>42184</v>
      </c>
      <c r="B80" s="6">
        <v>65.180000000000007</v>
      </c>
      <c r="C80" s="6">
        <v>114.970001</v>
      </c>
      <c r="D80" s="6">
        <v>82.269997000000004</v>
      </c>
      <c r="E80" s="6">
        <v>23.040001</v>
      </c>
      <c r="F80" s="6">
        <v>44.400002000000001</v>
      </c>
      <c r="G80" s="6">
        <v>83.139999000000003</v>
      </c>
      <c r="H80" s="6">
        <v>68.239998</v>
      </c>
      <c r="I80" s="4"/>
    </row>
    <row r="81" spans="1:9" x14ac:dyDescent="0.45">
      <c r="A81" s="5">
        <v>42191</v>
      </c>
      <c r="B81" s="6">
        <v>63</v>
      </c>
      <c r="C81" s="6">
        <v>116.44000200000001</v>
      </c>
      <c r="D81" s="6">
        <v>83.910004000000001</v>
      </c>
      <c r="E81" s="6">
        <v>23.950001</v>
      </c>
      <c r="F81" s="6">
        <v>44.610000999999997</v>
      </c>
      <c r="G81" s="6">
        <v>82.220000999999996</v>
      </c>
      <c r="H81" s="6">
        <v>68.419998000000007</v>
      </c>
      <c r="I81" s="4"/>
    </row>
    <row r="82" spans="1:9" x14ac:dyDescent="0.45">
      <c r="A82" s="5">
        <v>42198</v>
      </c>
      <c r="B82" s="6">
        <v>62.939999</v>
      </c>
      <c r="C82" s="6">
        <v>118.860001</v>
      </c>
      <c r="D82" s="6">
        <v>84.690002000000007</v>
      </c>
      <c r="E82" s="6">
        <v>23.799999</v>
      </c>
      <c r="F82" s="6">
        <v>46.619999</v>
      </c>
      <c r="G82" s="6">
        <v>82.610000999999997</v>
      </c>
      <c r="H82" s="6">
        <v>70.879997000000003</v>
      </c>
      <c r="I82" s="4"/>
    </row>
    <row r="83" spans="1:9" x14ac:dyDescent="0.45">
      <c r="A83" s="5">
        <v>42205</v>
      </c>
      <c r="B83" s="6">
        <v>61.240001999999997</v>
      </c>
      <c r="C83" s="6">
        <v>118.910004</v>
      </c>
      <c r="D83" s="6">
        <v>80.209998999999996</v>
      </c>
      <c r="E83" s="6">
        <v>23.799999</v>
      </c>
      <c r="F83" s="6">
        <v>45.939999</v>
      </c>
      <c r="G83" s="6">
        <v>79.940002000000007</v>
      </c>
      <c r="H83" s="6">
        <v>74.800003000000004</v>
      </c>
      <c r="I83" s="4"/>
    </row>
    <row r="84" spans="1:9" x14ac:dyDescent="0.45">
      <c r="A84" s="5">
        <v>42212</v>
      </c>
      <c r="B84" s="6">
        <v>62.860000999999997</v>
      </c>
      <c r="C84" s="6">
        <v>120</v>
      </c>
      <c r="D84" s="6">
        <v>81.849997999999999</v>
      </c>
      <c r="E84" s="6">
        <v>23.77</v>
      </c>
      <c r="F84" s="6">
        <v>46.700001</v>
      </c>
      <c r="G84" s="6">
        <v>79.209998999999996</v>
      </c>
      <c r="H84" s="6">
        <v>75.339995999999999</v>
      </c>
      <c r="I84" s="4"/>
    </row>
    <row r="85" spans="1:9" x14ac:dyDescent="0.45">
      <c r="A85" s="5">
        <v>42219</v>
      </c>
      <c r="B85" s="6">
        <v>62.369999</v>
      </c>
      <c r="C85" s="6">
        <v>109.349998</v>
      </c>
      <c r="D85" s="6">
        <v>78.980002999999996</v>
      </c>
      <c r="E85" s="6">
        <v>23.879999000000002</v>
      </c>
      <c r="F85" s="6">
        <v>46.740001999999997</v>
      </c>
      <c r="G85" s="6">
        <v>76.830001999999993</v>
      </c>
      <c r="H85" s="6">
        <v>74.209998999999996</v>
      </c>
      <c r="I85" s="4"/>
    </row>
    <row r="86" spans="1:9" x14ac:dyDescent="0.45">
      <c r="A86" s="5">
        <v>42226</v>
      </c>
      <c r="B86" s="6">
        <v>65.169998000000007</v>
      </c>
      <c r="C86" s="6">
        <v>107.160004</v>
      </c>
      <c r="D86" s="6">
        <v>79.349997999999999</v>
      </c>
      <c r="E86" s="6">
        <v>25</v>
      </c>
      <c r="F86" s="6">
        <v>47</v>
      </c>
      <c r="G86" s="6">
        <v>78.360000999999997</v>
      </c>
      <c r="H86" s="6">
        <v>74.220000999999996</v>
      </c>
      <c r="I86" s="4"/>
    </row>
    <row r="87" spans="1:9" x14ac:dyDescent="0.45">
      <c r="A87" s="5">
        <v>42233</v>
      </c>
      <c r="B87" s="6">
        <v>61.950001</v>
      </c>
      <c r="C87" s="6">
        <v>98.839995999999999</v>
      </c>
      <c r="D87" s="6">
        <v>78.400002000000001</v>
      </c>
      <c r="E87" s="6">
        <v>25.389999</v>
      </c>
      <c r="F87" s="6">
        <v>43.07</v>
      </c>
      <c r="G87" s="6">
        <v>72.129997000000003</v>
      </c>
      <c r="H87" s="6">
        <v>71.190002000000007</v>
      </c>
      <c r="I87" s="4"/>
    </row>
    <row r="88" spans="1:9" x14ac:dyDescent="0.45">
      <c r="A88" s="5">
        <v>42240</v>
      </c>
      <c r="B88" s="6">
        <v>63.169998</v>
      </c>
      <c r="C88" s="6">
        <v>102.480003</v>
      </c>
      <c r="D88" s="6">
        <v>78.029999000000004</v>
      </c>
      <c r="E88" s="6">
        <v>25.83</v>
      </c>
      <c r="F88" s="6">
        <v>43.93</v>
      </c>
      <c r="G88" s="6">
        <v>75.069999999999993</v>
      </c>
      <c r="H88" s="6">
        <v>72.459998999999996</v>
      </c>
      <c r="I88" s="4"/>
    </row>
    <row r="89" spans="1:9" x14ac:dyDescent="0.45">
      <c r="A89" s="5">
        <v>42247</v>
      </c>
      <c r="B89" s="6">
        <v>65.680000000000007</v>
      </c>
      <c r="C89" s="6">
        <v>100.970001</v>
      </c>
      <c r="D89" s="6">
        <v>76.419998000000007</v>
      </c>
      <c r="E89" s="6">
        <v>27.030000999999999</v>
      </c>
      <c r="F89" s="6">
        <v>42.610000999999997</v>
      </c>
      <c r="G89" s="6">
        <v>72.459998999999996</v>
      </c>
      <c r="H89" s="6">
        <v>69.160004000000001</v>
      </c>
      <c r="I89" s="4"/>
    </row>
    <row r="90" spans="1:9" x14ac:dyDescent="0.45">
      <c r="A90" s="5">
        <v>42254</v>
      </c>
      <c r="B90" s="6">
        <v>54.009998000000003</v>
      </c>
      <c r="C90" s="6">
        <v>104.480003</v>
      </c>
      <c r="D90" s="6">
        <v>77.879997000000003</v>
      </c>
      <c r="E90" s="6">
        <v>28.309999000000001</v>
      </c>
      <c r="F90" s="6">
        <v>43.48</v>
      </c>
      <c r="G90" s="6">
        <v>72.690002000000007</v>
      </c>
      <c r="H90" s="6">
        <v>70.760002</v>
      </c>
      <c r="I90" s="4"/>
    </row>
    <row r="91" spans="1:9" x14ac:dyDescent="0.45">
      <c r="A91" s="5">
        <v>42261</v>
      </c>
      <c r="B91" s="6">
        <v>52.91</v>
      </c>
      <c r="C91" s="6">
        <v>102.839996</v>
      </c>
      <c r="D91" s="6">
        <v>76.620002999999997</v>
      </c>
      <c r="E91" s="6">
        <v>27.879999000000002</v>
      </c>
      <c r="F91" s="6">
        <v>43.48</v>
      </c>
      <c r="G91" s="6">
        <v>72.680000000000007</v>
      </c>
      <c r="H91" s="6">
        <v>69.790001000000004</v>
      </c>
      <c r="I91" s="4"/>
    </row>
    <row r="92" spans="1:9" x14ac:dyDescent="0.45">
      <c r="A92" s="5">
        <v>42268</v>
      </c>
      <c r="B92" s="6">
        <v>52.580002</v>
      </c>
      <c r="C92" s="6">
        <v>100.300003</v>
      </c>
      <c r="D92" s="6">
        <v>79.050003000000004</v>
      </c>
      <c r="E92" s="6">
        <v>28.219999000000001</v>
      </c>
      <c r="F92" s="6">
        <v>43.939999</v>
      </c>
      <c r="G92" s="6">
        <v>73.230002999999996</v>
      </c>
      <c r="H92" s="6">
        <v>70.690002000000007</v>
      </c>
      <c r="I92" s="4"/>
    </row>
    <row r="93" spans="1:9" x14ac:dyDescent="0.45">
      <c r="A93" s="5">
        <v>42275</v>
      </c>
      <c r="B93" s="6">
        <v>51.119999</v>
      </c>
      <c r="C93" s="6">
        <v>103</v>
      </c>
      <c r="D93" s="6">
        <v>79.529999000000004</v>
      </c>
      <c r="E93" s="6">
        <v>30.75</v>
      </c>
      <c r="F93" s="6">
        <v>45.57</v>
      </c>
      <c r="G93" s="6">
        <v>75.879997000000003</v>
      </c>
      <c r="H93" s="6">
        <v>70.669998000000007</v>
      </c>
      <c r="I93" s="4"/>
    </row>
    <row r="94" spans="1:9" x14ac:dyDescent="0.45">
      <c r="A94" s="5">
        <v>42282</v>
      </c>
      <c r="B94" s="6">
        <v>52.75</v>
      </c>
      <c r="C94" s="6">
        <v>105.55999799999999</v>
      </c>
      <c r="D94" s="6">
        <v>78.879997000000003</v>
      </c>
      <c r="E94" s="6">
        <v>33.970001000000003</v>
      </c>
      <c r="F94" s="6">
        <v>47.110000999999997</v>
      </c>
      <c r="G94" s="6">
        <v>79.260002</v>
      </c>
      <c r="H94" s="6">
        <v>73.980002999999996</v>
      </c>
      <c r="I94" s="4"/>
    </row>
    <row r="95" spans="1:9" x14ac:dyDescent="0.45">
      <c r="A95" s="5">
        <v>42289</v>
      </c>
      <c r="B95" s="6">
        <v>53.810001</v>
      </c>
      <c r="C95" s="6">
        <v>108.239998</v>
      </c>
      <c r="D95" s="6">
        <v>75.050003000000004</v>
      </c>
      <c r="E95" s="6">
        <v>34.220001000000003</v>
      </c>
      <c r="F95" s="6">
        <v>47.509998000000003</v>
      </c>
      <c r="G95" s="6">
        <v>82.480002999999996</v>
      </c>
      <c r="H95" s="6">
        <v>76</v>
      </c>
      <c r="I95" s="4"/>
    </row>
    <row r="96" spans="1:9" x14ac:dyDescent="0.45">
      <c r="A96" s="5">
        <v>42296</v>
      </c>
      <c r="B96" s="6">
        <v>48.490001999999997</v>
      </c>
      <c r="C96" s="6">
        <v>113.089996</v>
      </c>
      <c r="D96" s="6">
        <v>72.940002000000007</v>
      </c>
      <c r="E96" s="6">
        <v>36.279998999999997</v>
      </c>
      <c r="F96" s="6">
        <v>52.869999</v>
      </c>
      <c r="G96" s="6">
        <v>82.980002999999996</v>
      </c>
      <c r="H96" s="6">
        <v>77.069999999999993</v>
      </c>
      <c r="I96" s="4"/>
    </row>
    <row r="97" spans="1:9" x14ac:dyDescent="0.45">
      <c r="A97" s="5">
        <v>42303</v>
      </c>
      <c r="B97" s="6">
        <v>49.169998</v>
      </c>
      <c r="C97" s="6">
        <v>113.739998</v>
      </c>
      <c r="D97" s="6">
        <v>77.180000000000007</v>
      </c>
      <c r="E97" s="6">
        <v>37.639999000000003</v>
      </c>
      <c r="F97" s="6">
        <v>52.639999000000003</v>
      </c>
      <c r="G97" s="6">
        <v>82.739998</v>
      </c>
      <c r="H97" s="6">
        <v>77.580001999999993</v>
      </c>
      <c r="I97" s="4"/>
    </row>
    <row r="98" spans="1:9" x14ac:dyDescent="0.45">
      <c r="A98" s="5">
        <v>42310</v>
      </c>
      <c r="B98" s="6">
        <v>51.060001</v>
      </c>
      <c r="C98" s="6">
        <v>115.66999800000001</v>
      </c>
      <c r="D98" s="6">
        <v>77.220000999999996</v>
      </c>
      <c r="E98" s="6">
        <v>36.759998000000003</v>
      </c>
      <c r="F98" s="6">
        <v>54.919998</v>
      </c>
      <c r="G98" s="6">
        <v>84.470000999999996</v>
      </c>
      <c r="H98" s="6">
        <v>78.75</v>
      </c>
      <c r="I98" s="4"/>
    </row>
    <row r="99" spans="1:9" x14ac:dyDescent="0.45">
      <c r="A99" s="5">
        <v>42317</v>
      </c>
      <c r="B99" s="6">
        <v>45.049999</v>
      </c>
      <c r="C99" s="6">
        <v>114.839996</v>
      </c>
      <c r="D99" s="6">
        <v>71.889999000000003</v>
      </c>
      <c r="E99" s="6">
        <v>35.939999</v>
      </c>
      <c r="F99" s="6">
        <v>52.84</v>
      </c>
      <c r="G99" s="6">
        <v>78.099997999999999</v>
      </c>
      <c r="H99" s="6">
        <v>78.110000999999997</v>
      </c>
      <c r="I99" s="4"/>
    </row>
    <row r="100" spans="1:9" x14ac:dyDescent="0.45">
      <c r="A100" s="5">
        <v>42324</v>
      </c>
      <c r="B100" s="6">
        <v>49.279998999999997</v>
      </c>
      <c r="C100" s="6">
        <v>120.07</v>
      </c>
      <c r="D100" s="6">
        <v>70.830001999999993</v>
      </c>
      <c r="E100" s="6">
        <v>36.529998999999997</v>
      </c>
      <c r="F100" s="6">
        <v>54.189999</v>
      </c>
      <c r="G100" s="6">
        <v>79.790001000000004</v>
      </c>
      <c r="H100" s="6">
        <v>80.190002000000007</v>
      </c>
      <c r="I100" s="4"/>
    </row>
    <row r="101" spans="1:9" x14ac:dyDescent="0.45">
      <c r="A101" s="5">
        <v>42331</v>
      </c>
      <c r="B101" s="6">
        <v>52.5</v>
      </c>
      <c r="C101" s="6">
        <v>115.129997</v>
      </c>
      <c r="D101" s="6">
        <v>73.440002000000007</v>
      </c>
      <c r="E101" s="6">
        <v>38.380001</v>
      </c>
      <c r="F101" s="6">
        <v>53.93</v>
      </c>
      <c r="G101" s="6">
        <v>81.230002999999996</v>
      </c>
      <c r="H101" s="6">
        <v>79.839995999999999</v>
      </c>
      <c r="I101" s="4"/>
    </row>
    <row r="102" spans="1:9" x14ac:dyDescent="0.45">
      <c r="A102" s="5">
        <v>42338</v>
      </c>
      <c r="B102" s="6">
        <v>49.18</v>
      </c>
      <c r="C102" s="6">
        <v>114.239998</v>
      </c>
      <c r="D102" s="6">
        <v>73.900002000000001</v>
      </c>
      <c r="E102" s="6">
        <v>42.349997999999999</v>
      </c>
      <c r="F102" s="6">
        <v>55.91</v>
      </c>
      <c r="G102" s="6">
        <v>78.860000999999997</v>
      </c>
      <c r="H102" s="6">
        <v>80.400002000000001</v>
      </c>
      <c r="I102" s="4"/>
    </row>
    <row r="103" spans="1:9" x14ac:dyDescent="0.45">
      <c r="A103" s="5">
        <v>42345</v>
      </c>
      <c r="B103" s="6">
        <v>46.119999</v>
      </c>
      <c r="C103" s="6">
        <v>108.040001</v>
      </c>
      <c r="D103" s="6">
        <v>71.839995999999999</v>
      </c>
      <c r="E103" s="6">
        <v>45.810001</v>
      </c>
      <c r="F103" s="6">
        <v>54.060001</v>
      </c>
      <c r="G103" s="6">
        <v>74.339995999999999</v>
      </c>
      <c r="H103" s="6">
        <v>76.110000999999997</v>
      </c>
      <c r="I103" s="4"/>
    </row>
    <row r="104" spans="1:9" x14ac:dyDescent="0.45">
      <c r="A104" s="5">
        <v>42352</v>
      </c>
      <c r="B104" s="6">
        <v>50.259998000000003</v>
      </c>
      <c r="C104" s="6">
        <v>107.720001</v>
      </c>
      <c r="D104" s="6">
        <v>71.370002999999997</v>
      </c>
      <c r="E104" s="6">
        <v>43.84</v>
      </c>
      <c r="F104" s="6">
        <v>54.130001</v>
      </c>
      <c r="G104" s="6">
        <v>77.279999000000004</v>
      </c>
      <c r="H104" s="6">
        <v>76.319999999999993</v>
      </c>
      <c r="I104" s="4"/>
    </row>
    <row r="105" spans="1:9" x14ac:dyDescent="0.45">
      <c r="A105" s="5">
        <v>42359</v>
      </c>
      <c r="B105" s="6">
        <v>53.189999</v>
      </c>
      <c r="C105" s="6">
        <v>105.860001</v>
      </c>
      <c r="D105" s="6">
        <v>73.169998000000007</v>
      </c>
      <c r="E105" s="6">
        <v>46.400002000000001</v>
      </c>
      <c r="F105" s="6">
        <v>55.669998</v>
      </c>
      <c r="G105" s="6">
        <v>79.330001999999993</v>
      </c>
      <c r="H105" s="6">
        <v>78.260002</v>
      </c>
      <c r="I105" s="4"/>
    </row>
    <row r="106" spans="1:9" x14ac:dyDescent="0.45">
      <c r="A106" s="5">
        <v>42366</v>
      </c>
      <c r="B106" s="6">
        <v>52.470001000000003</v>
      </c>
      <c r="C106" s="6">
        <v>105.08000199999999</v>
      </c>
      <c r="D106" s="6">
        <v>72.610000999999997</v>
      </c>
      <c r="E106" s="6">
        <v>45.439999</v>
      </c>
      <c r="F106" s="6">
        <v>55.48</v>
      </c>
      <c r="G106" s="6">
        <v>77.949996999999996</v>
      </c>
      <c r="H106" s="6">
        <v>77.550003000000004</v>
      </c>
      <c r="I106" s="4"/>
    </row>
    <row r="107" spans="1:9" x14ac:dyDescent="0.45">
      <c r="A107" s="5">
        <v>42373</v>
      </c>
      <c r="B107" s="6">
        <v>53.91</v>
      </c>
      <c r="C107" s="6">
        <v>99.25</v>
      </c>
      <c r="D107" s="6">
        <v>71.379997000000003</v>
      </c>
      <c r="E107" s="6">
        <v>42.130001</v>
      </c>
      <c r="F107" s="6">
        <v>52.330002</v>
      </c>
      <c r="G107" s="6">
        <v>74.690002000000007</v>
      </c>
      <c r="H107" s="6">
        <v>72.879997000000003</v>
      </c>
      <c r="I107" s="4"/>
    </row>
    <row r="108" spans="1:9" x14ac:dyDescent="0.45">
      <c r="A108" s="5">
        <v>42380</v>
      </c>
      <c r="B108" s="6">
        <v>55.709999000000003</v>
      </c>
      <c r="C108" s="6">
        <v>93.900002000000001</v>
      </c>
      <c r="D108" s="6">
        <v>70.080001999999993</v>
      </c>
      <c r="E108" s="6">
        <v>38.290000999999997</v>
      </c>
      <c r="F108" s="6">
        <v>50.990001999999997</v>
      </c>
      <c r="G108" s="6">
        <v>77.580001999999993</v>
      </c>
      <c r="H108" s="6">
        <v>71.830001999999993</v>
      </c>
      <c r="I108" s="4"/>
    </row>
    <row r="109" spans="1:9" x14ac:dyDescent="0.45">
      <c r="A109" s="5">
        <v>42387</v>
      </c>
      <c r="B109" s="6">
        <v>58.029998999999997</v>
      </c>
      <c r="C109" s="6">
        <v>96.900002000000001</v>
      </c>
      <c r="D109" s="6">
        <v>69.720000999999996</v>
      </c>
      <c r="E109" s="6">
        <v>41.240001999999997</v>
      </c>
      <c r="F109" s="6">
        <v>52.290000999999997</v>
      </c>
      <c r="G109" s="6">
        <v>76.569999999999993</v>
      </c>
      <c r="H109" s="6">
        <v>72.699996999999996</v>
      </c>
      <c r="I109" s="4"/>
    </row>
    <row r="110" spans="1:9" x14ac:dyDescent="0.45">
      <c r="A110" s="5">
        <v>42394</v>
      </c>
      <c r="B110" s="6">
        <v>62.07</v>
      </c>
      <c r="C110" s="6">
        <v>95.82</v>
      </c>
      <c r="D110" s="6">
        <v>72.419998000000007</v>
      </c>
      <c r="E110" s="6">
        <v>41.34</v>
      </c>
      <c r="F110" s="6">
        <v>55.09</v>
      </c>
      <c r="G110" s="6">
        <v>77.849997999999999</v>
      </c>
      <c r="H110" s="6">
        <v>74.489998</v>
      </c>
      <c r="I110" s="4"/>
    </row>
    <row r="111" spans="1:9" x14ac:dyDescent="0.45">
      <c r="A111" s="5">
        <v>42401</v>
      </c>
      <c r="B111" s="6">
        <v>60.75</v>
      </c>
      <c r="C111" s="6">
        <v>93.900002000000001</v>
      </c>
      <c r="D111" s="6">
        <v>69.559997999999993</v>
      </c>
      <c r="E111" s="6">
        <v>34.939999</v>
      </c>
      <c r="F111" s="6">
        <v>50.16</v>
      </c>
      <c r="G111" s="6">
        <v>80.080001999999993</v>
      </c>
      <c r="H111" s="6">
        <v>71.540001000000004</v>
      </c>
      <c r="I111" s="4"/>
    </row>
    <row r="112" spans="1:9" x14ac:dyDescent="0.45">
      <c r="A112" s="5">
        <v>42408</v>
      </c>
      <c r="B112" s="6">
        <v>58.84</v>
      </c>
      <c r="C112" s="6">
        <v>91.150002000000001</v>
      </c>
      <c r="D112" s="6">
        <v>69.949996999999996</v>
      </c>
      <c r="E112" s="6">
        <v>35.060001</v>
      </c>
      <c r="F112" s="6">
        <v>50.5</v>
      </c>
      <c r="G112" s="6">
        <v>81.029999000000004</v>
      </c>
      <c r="H112" s="6">
        <v>70.419998000000007</v>
      </c>
      <c r="I112" s="4"/>
    </row>
    <row r="113" spans="1:9" x14ac:dyDescent="0.45">
      <c r="A113" s="5">
        <v>42415</v>
      </c>
      <c r="B113" s="6">
        <v>60.759998000000003</v>
      </c>
      <c r="C113" s="6">
        <v>95.010002</v>
      </c>
      <c r="D113" s="6">
        <v>72.319999999999993</v>
      </c>
      <c r="E113" s="6">
        <v>36.75</v>
      </c>
      <c r="F113" s="6">
        <v>51.82</v>
      </c>
      <c r="G113" s="6">
        <v>82.5</v>
      </c>
      <c r="H113" s="6">
        <v>71.529999000000004</v>
      </c>
      <c r="I113" s="4"/>
    </row>
    <row r="114" spans="1:9" x14ac:dyDescent="0.45">
      <c r="A114" s="5">
        <v>42422</v>
      </c>
      <c r="B114" s="6">
        <v>61.560001</v>
      </c>
      <c r="C114" s="6">
        <v>95.309997999999993</v>
      </c>
      <c r="D114" s="6">
        <v>78.430000000000007</v>
      </c>
      <c r="E114" s="6">
        <v>38.189999</v>
      </c>
      <c r="F114" s="6">
        <v>51.299999</v>
      </c>
      <c r="G114" s="6">
        <v>81.75</v>
      </c>
      <c r="H114" s="6">
        <v>72.730002999999996</v>
      </c>
      <c r="I114" s="4"/>
    </row>
    <row r="115" spans="1:9" x14ac:dyDescent="0.45">
      <c r="A115" s="5">
        <v>42429</v>
      </c>
      <c r="B115" s="6">
        <v>61.220001000000003</v>
      </c>
      <c r="C115" s="6">
        <v>98.480002999999996</v>
      </c>
      <c r="D115" s="6">
        <v>81.129997000000003</v>
      </c>
      <c r="E115" s="6">
        <v>39.57</v>
      </c>
      <c r="F115" s="6">
        <v>52.029998999999997</v>
      </c>
      <c r="G115" s="6">
        <v>82.290001000000004</v>
      </c>
      <c r="H115" s="6">
        <v>73.900002000000001</v>
      </c>
      <c r="I115" s="4"/>
    </row>
    <row r="116" spans="1:9" x14ac:dyDescent="0.45">
      <c r="A116" s="5">
        <v>42436</v>
      </c>
      <c r="B116" s="6">
        <v>64.419998000000007</v>
      </c>
      <c r="C116" s="6">
        <v>97.940002000000007</v>
      </c>
      <c r="D116" s="6">
        <v>81.870002999999997</v>
      </c>
      <c r="E116" s="6">
        <v>42.66</v>
      </c>
      <c r="F116" s="6">
        <v>53.07</v>
      </c>
      <c r="G116" s="6">
        <v>82.190002000000007</v>
      </c>
      <c r="H116" s="6">
        <v>71.629997000000003</v>
      </c>
      <c r="I116" s="4"/>
    </row>
    <row r="117" spans="1:9" x14ac:dyDescent="0.45">
      <c r="A117" s="5">
        <v>42443</v>
      </c>
      <c r="B117" s="6">
        <v>62.509998000000003</v>
      </c>
      <c r="C117" s="6">
        <v>99.199996999999996</v>
      </c>
      <c r="D117" s="6">
        <v>82.709998999999996</v>
      </c>
      <c r="E117" s="6">
        <v>41.990001999999997</v>
      </c>
      <c r="F117" s="6">
        <v>53.490001999999997</v>
      </c>
      <c r="G117" s="6">
        <v>84.199996999999996</v>
      </c>
      <c r="H117" s="6">
        <v>73.779999000000004</v>
      </c>
      <c r="I117" s="4"/>
    </row>
    <row r="118" spans="1:9" x14ac:dyDescent="0.45">
      <c r="A118" s="5">
        <v>42450</v>
      </c>
      <c r="B118" s="6">
        <v>60.889999000000003</v>
      </c>
      <c r="C118" s="6">
        <v>97.220000999999996</v>
      </c>
      <c r="D118" s="6">
        <v>82.040001000000004</v>
      </c>
      <c r="E118" s="6">
        <v>41.619999</v>
      </c>
      <c r="F118" s="6">
        <v>54.209999000000003</v>
      </c>
      <c r="G118" s="6">
        <v>83.980002999999996</v>
      </c>
      <c r="H118" s="6">
        <v>74.139999000000003</v>
      </c>
      <c r="I118" s="4"/>
    </row>
    <row r="119" spans="1:9" x14ac:dyDescent="0.45">
      <c r="A119" s="5">
        <v>42457</v>
      </c>
      <c r="B119" s="6">
        <v>68.690002000000007</v>
      </c>
      <c r="C119" s="6">
        <v>99.07</v>
      </c>
      <c r="D119" s="6">
        <v>82.760002</v>
      </c>
      <c r="E119" s="6">
        <v>43.68</v>
      </c>
      <c r="F119" s="6">
        <v>55.57</v>
      </c>
      <c r="G119" s="6">
        <v>82.959998999999996</v>
      </c>
      <c r="H119" s="6">
        <v>77.589995999999999</v>
      </c>
      <c r="I119" s="4"/>
    </row>
    <row r="120" spans="1:9" x14ac:dyDescent="0.45">
      <c r="A120" s="5">
        <v>42464</v>
      </c>
      <c r="B120" s="6">
        <v>63.75</v>
      </c>
      <c r="C120" s="6">
        <v>96.419998000000007</v>
      </c>
      <c r="D120" s="6">
        <v>80.879997000000003</v>
      </c>
      <c r="E120" s="6">
        <v>45.220001000000003</v>
      </c>
      <c r="F120" s="6">
        <v>54.419998</v>
      </c>
      <c r="G120" s="6">
        <v>83.209998999999996</v>
      </c>
      <c r="H120" s="6">
        <v>78.029999000000004</v>
      </c>
      <c r="I120" s="4"/>
    </row>
    <row r="121" spans="1:9" x14ac:dyDescent="0.45">
      <c r="A121" s="5">
        <v>42471</v>
      </c>
      <c r="B121" s="6">
        <v>64.800003000000004</v>
      </c>
      <c r="C121" s="6">
        <v>98.589995999999999</v>
      </c>
      <c r="D121" s="6">
        <v>82.599997999999999</v>
      </c>
      <c r="E121" s="6">
        <v>44.860000999999997</v>
      </c>
      <c r="F121" s="6">
        <v>55.650002000000001</v>
      </c>
      <c r="G121" s="6">
        <v>84.970000999999996</v>
      </c>
      <c r="H121" s="6">
        <v>80.080001999999993</v>
      </c>
      <c r="I121" s="4"/>
    </row>
    <row r="122" spans="1:9" x14ac:dyDescent="0.45">
      <c r="A122" s="5">
        <v>42478</v>
      </c>
      <c r="B122" s="6">
        <v>66.239998</v>
      </c>
      <c r="C122" s="6">
        <v>103.769997</v>
      </c>
      <c r="D122" s="6">
        <v>82.330001999999993</v>
      </c>
      <c r="E122" s="6">
        <v>44.360000999999997</v>
      </c>
      <c r="F122" s="6">
        <v>51.779998999999997</v>
      </c>
      <c r="G122" s="6">
        <v>87.529999000000004</v>
      </c>
      <c r="H122" s="6">
        <v>79.110000999999997</v>
      </c>
      <c r="I122" s="4"/>
    </row>
    <row r="123" spans="1:9" x14ac:dyDescent="0.45">
      <c r="A123" s="5">
        <v>42485</v>
      </c>
      <c r="B123" s="6">
        <v>65.550003000000004</v>
      </c>
      <c r="C123" s="6">
        <v>103.260002</v>
      </c>
      <c r="D123" s="6">
        <v>79.5</v>
      </c>
      <c r="E123" s="6">
        <v>46.740001999999997</v>
      </c>
      <c r="F123" s="6">
        <v>49.869999</v>
      </c>
      <c r="G123" s="6">
        <v>88.400002000000001</v>
      </c>
      <c r="H123" s="6">
        <v>77.239998</v>
      </c>
      <c r="I123" s="4"/>
    </row>
    <row r="124" spans="1:9" x14ac:dyDescent="0.45">
      <c r="A124" s="5">
        <v>42492</v>
      </c>
      <c r="B124" s="6">
        <v>62.810001</v>
      </c>
      <c r="C124" s="6">
        <v>105.540001</v>
      </c>
      <c r="D124" s="6">
        <v>78.739998</v>
      </c>
      <c r="E124" s="6">
        <v>49.380001</v>
      </c>
      <c r="F124" s="6">
        <v>50.389999000000003</v>
      </c>
      <c r="G124" s="6">
        <v>88.510002</v>
      </c>
      <c r="H124" s="6">
        <v>77.720000999999996</v>
      </c>
      <c r="I124" s="4"/>
    </row>
    <row r="125" spans="1:9" x14ac:dyDescent="0.45">
      <c r="A125" s="5">
        <v>42499</v>
      </c>
      <c r="B125" s="6">
        <v>61.580002</v>
      </c>
      <c r="C125" s="6">
        <v>100.519997</v>
      </c>
      <c r="D125" s="6">
        <v>73.879997000000003</v>
      </c>
      <c r="E125" s="6">
        <v>52.540000999999997</v>
      </c>
      <c r="F125" s="6">
        <v>51.080002</v>
      </c>
      <c r="G125" s="6">
        <v>88.660004000000001</v>
      </c>
      <c r="H125" s="6">
        <v>76.830001999999993</v>
      </c>
      <c r="I125" s="4"/>
    </row>
    <row r="126" spans="1:9" x14ac:dyDescent="0.45">
      <c r="A126" s="5">
        <v>42506</v>
      </c>
      <c r="B126" s="6">
        <v>62.490001999999997</v>
      </c>
      <c r="C126" s="6">
        <v>99.779999000000004</v>
      </c>
      <c r="D126" s="6">
        <v>68.660004000000001</v>
      </c>
      <c r="E126" s="6">
        <v>52.139999000000003</v>
      </c>
      <c r="F126" s="6">
        <v>50.619999</v>
      </c>
      <c r="G126" s="6">
        <v>89.739998</v>
      </c>
      <c r="H126" s="6">
        <v>77.669998000000007</v>
      </c>
      <c r="I126" s="4"/>
    </row>
    <row r="127" spans="1:9" x14ac:dyDescent="0.45">
      <c r="A127" s="5">
        <v>42513</v>
      </c>
      <c r="B127" s="6">
        <v>64.690002000000007</v>
      </c>
      <c r="C127" s="6">
        <v>100.290001</v>
      </c>
      <c r="D127" s="6">
        <v>68.900002000000001</v>
      </c>
      <c r="E127" s="6">
        <v>53.07</v>
      </c>
      <c r="F127" s="6">
        <v>52.32</v>
      </c>
      <c r="G127" s="6">
        <v>90.010002</v>
      </c>
      <c r="H127" s="6">
        <v>79.660004000000001</v>
      </c>
      <c r="I127" s="4"/>
    </row>
    <row r="128" spans="1:9" x14ac:dyDescent="0.45">
      <c r="A128" s="5">
        <v>42520</v>
      </c>
      <c r="B128" s="6">
        <v>67.239998</v>
      </c>
      <c r="C128" s="6">
        <v>98.75</v>
      </c>
      <c r="D128" s="6">
        <v>68.650002000000001</v>
      </c>
      <c r="E128" s="6">
        <v>53.639999000000003</v>
      </c>
      <c r="F128" s="6">
        <v>51.790000999999997</v>
      </c>
      <c r="G128" s="6">
        <v>88.370002999999997</v>
      </c>
      <c r="H128" s="6">
        <v>79.940002000000007</v>
      </c>
      <c r="I128" s="4"/>
    </row>
    <row r="129" spans="1:9" x14ac:dyDescent="0.45">
      <c r="A129" s="5">
        <v>42527</v>
      </c>
      <c r="B129" s="6">
        <v>70.540001000000004</v>
      </c>
      <c r="C129" s="6">
        <v>97.339995999999999</v>
      </c>
      <c r="D129" s="6">
        <v>67.879997000000003</v>
      </c>
      <c r="E129" s="6">
        <v>55.830002</v>
      </c>
      <c r="F129" s="6">
        <v>51.48</v>
      </c>
      <c r="G129" s="6">
        <v>89.980002999999996</v>
      </c>
      <c r="H129" s="6">
        <v>80.180000000000007</v>
      </c>
      <c r="I129" s="4"/>
    </row>
    <row r="130" spans="1:9" x14ac:dyDescent="0.45">
      <c r="A130" s="5">
        <v>42534</v>
      </c>
      <c r="B130" s="6">
        <v>71.709998999999996</v>
      </c>
      <c r="C130" s="6">
        <v>99</v>
      </c>
      <c r="D130" s="6">
        <v>67.5</v>
      </c>
      <c r="E130" s="6">
        <v>54.740001999999997</v>
      </c>
      <c r="F130" s="6">
        <v>50.130001</v>
      </c>
      <c r="G130" s="6">
        <v>90.720000999999996</v>
      </c>
      <c r="H130" s="6">
        <v>76.989998</v>
      </c>
      <c r="I130" s="4"/>
    </row>
    <row r="131" spans="1:9" x14ac:dyDescent="0.45">
      <c r="A131" s="5">
        <v>42541</v>
      </c>
      <c r="B131" s="6">
        <v>69.620002999999997</v>
      </c>
      <c r="C131" s="6">
        <v>95.720000999999996</v>
      </c>
      <c r="D131" s="6">
        <v>69.349997999999999</v>
      </c>
      <c r="E131" s="6">
        <v>58.43</v>
      </c>
      <c r="F131" s="6">
        <v>49.830002</v>
      </c>
      <c r="G131" s="6">
        <v>89.389999000000003</v>
      </c>
      <c r="H131" s="6">
        <v>75.050003000000004</v>
      </c>
      <c r="I131" s="4"/>
    </row>
    <row r="132" spans="1:9" x14ac:dyDescent="0.45">
      <c r="A132" s="5">
        <v>42548</v>
      </c>
      <c r="B132" s="6">
        <v>73.959998999999996</v>
      </c>
      <c r="C132" s="6">
        <v>98.029999000000004</v>
      </c>
      <c r="D132" s="6">
        <v>70.050003000000004</v>
      </c>
      <c r="E132" s="6">
        <v>61.369999</v>
      </c>
      <c r="F132" s="6">
        <v>51.16</v>
      </c>
      <c r="G132" s="6">
        <v>93.839995999999999</v>
      </c>
      <c r="H132" s="6">
        <v>74.480002999999996</v>
      </c>
      <c r="I132" s="4"/>
    </row>
    <row r="133" spans="1:9" x14ac:dyDescent="0.45">
      <c r="A133" s="5">
        <v>42555</v>
      </c>
      <c r="B133" s="6">
        <v>76.720000999999996</v>
      </c>
      <c r="C133" s="6">
        <v>99.620002999999997</v>
      </c>
      <c r="D133" s="6">
        <v>71.309997999999993</v>
      </c>
      <c r="E133" s="6">
        <v>62.119999</v>
      </c>
      <c r="F133" s="6">
        <v>52.299999</v>
      </c>
      <c r="G133" s="6">
        <v>93.540001000000004</v>
      </c>
      <c r="H133" s="6">
        <v>76.419998000000007</v>
      </c>
      <c r="I133" s="4"/>
    </row>
    <row r="134" spans="1:9" x14ac:dyDescent="0.45">
      <c r="A134" s="5">
        <v>42562</v>
      </c>
      <c r="B134" s="6">
        <v>77.800003000000004</v>
      </c>
      <c r="C134" s="6">
        <v>99.800003000000004</v>
      </c>
      <c r="D134" s="6">
        <v>73.040001000000004</v>
      </c>
      <c r="E134" s="6">
        <v>61.25</v>
      </c>
      <c r="F134" s="6">
        <v>53.700001</v>
      </c>
      <c r="G134" s="6">
        <v>95.120002999999997</v>
      </c>
      <c r="H134" s="6">
        <v>78.300003000000004</v>
      </c>
      <c r="I134" s="4"/>
    </row>
    <row r="135" spans="1:9" x14ac:dyDescent="0.45">
      <c r="A135" s="5">
        <v>42569</v>
      </c>
      <c r="B135" s="6">
        <v>76.139999000000003</v>
      </c>
      <c r="C135" s="6">
        <v>97.709998999999996</v>
      </c>
      <c r="D135" s="6">
        <v>74.919998000000007</v>
      </c>
      <c r="E135" s="6">
        <v>61.860000999999997</v>
      </c>
      <c r="F135" s="6">
        <v>56.57</v>
      </c>
      <c r="G135" s="6">
        <v>94.010002</v>
      </c>
      <c r="H135" s="6">
        <v>79.910004000000001</v>
      </c>
      <c r="I135" s="4"/>
    </row>
    <row r="136" spans="1:9" x14ac:dyDescent="0.45">
      <c r="A136" s="5">
        <v>42576</v>
      </c>
      <c r="B136" s="6">
        <v>77.650002000000001</v>
      </c>
      <c r="C136" s="6">
        <v>95.949996999999996</v>
      </c>
      <c r="D136" s="6">
        <v>75.330001999999993</v>
      </c>
      <c r="E136" s="6">
        <v>57.360000999999997</v>
      </c>
      <c r="F136" s="6">
        <v>56.68</v>
      </c>
      <c r="G136" s="6">
        <v>88.949996999999996</v>
      </c>
      <c r="H136" s="6">
        <v>78.050003000000004</v>
      </c>
      <c r="I136" s="4"/>
    </row>
    <row r="137" spans="1:9" x14ac:dyDescent="0.45">
      <c r="A137" s="5">
        <v>42583</v>
      </c>
      <c r="B137" s="6">
        <v>77.800003000000004</v>
      </c>
      <c r="C137" s="6">
        <v>95.830001999999993</v>
      </c>
      <c r="D137" s="6">
        <v>74.940002000000007</v>
      </c>
      <c r="E137" s="6">
        <v>54.080002</v>
      </c>
      <c r="F137" s="6">
        <v>57.959999000000003</v>
      </c>
      <c r="G137" s="6">
        <v>87.559997999999993</v>
      </c>
      <c r="H137" s="6">
        <v>80.139999000000003</v>
      </c>
      <c r="I137" s="4"/>
    </row>
    <row r="138" spans="1:9" x14ac:dyDescent="0.45">
      <c r="A138" s="5">
        <v>42590</v>
      </c>
      <c r="B138" s="6">
        <v>79.339995999999999</v>
      </c>
      <c r="C138" s="6">
        <v>96.839995999999999</v>
      </c>
      <c r="D138" s="6">
        <v>75.809997999999993</v>
      </c>
      <c r="E138" s="6">
        <v>55.740001999999997</v>
      </c>
      <c r="F138" s="6">
        <v>57.939999</v>
      </c>
      <c r="G138" s="6">
        <v>87.849997999999999</v>
      </c>
      <c r="H138" s="6">
        <v>80.019997000000004</v>
      </c>
      <c r="I138" s="4"/>
    </row>
    <row r="139" spans="1:9" x14ac:dyDescent="0.45">
      <c r="A139" s="5">
        <v>42597</v>
      </c>
      <c r="B139" s="6">
        <v>80.650002000000001</v>
      </c>
      <c r="C139" s="6">
        <v>96.389999000000003</v>
      </c>
      <c r="D139" s="6">
        <v>70.120002999999997</v>
      </c>
      <c r="E139" s="6">
        <v>49.07</v>
      </c>
      <c r="F139" s="6">
        <v>57.619999</v>
      </c>
      <c r="G139" s="6">
        <v>87.800003000000004</v>
      </c>
      <c r="H139" s="6">
        <v>80.470000999999996</v>
      </c>
      <c r="I139" s="4"/>
    </row>
    <row r="140" spans="1:9" x14ac:dyDescent="0.45">
      <c r="A140" s="5">
        <v>42604</v>
      </c>
      <c r="B140" s="6">
        <v>78.190002000000007</v>
      </c>
      <c r="C140" s="6">
        <v>95.209998999999996</v>
      </c>
      <c r="D140" s="6">
        <v>70.349997999999999</v>
      </c>
      <c r="E140" s="6">
        <v>50.779998999999997</v>
      </c>
      <c r="F140" s="6">
        <v>58.029998999999997</v>
      </c>
      <c r="G140" s="6">
        <v>87.269997000000004</v>
      </c>
      <c r="H140" s="6">
        <v>80.569999999999993</v>
      </c>
      <c r="I140" s="4"/>
    </row>
    <row r="141" spans="1:9" x14ac:dyDescent="0.45">
      <c r="A141" s="5">
        <v>42611</v>
      </c>
      <c r="B141" s="6">
        <v>68.569999999999993</v>
      </c>
      <c r="C141" s="6">
        <v>94.419998000000007</v>
      </c>
      <c r="D141" s="6">
        <v>70.809997999999993</v>
      </c>
      <c r="E141" s="6">
        <v>48.790000999999997</v>
      </c>
      <c r="F141" s="6">
        <v>57.669998</v>
      </c>
      <c r="G141" s="6">
        <v>87.419998000000007</v>
      </c>
      <c r="H141" s="6">
        <v>82</v>
      </c>
      <c r="I141" s="4"/>
    </row>
    <row r="142" spans="1:9" x14ac:dyDescent="0.45">
      <c r="A142" s="5">
        <v>42618</v>
      </c>
      <c r="B142" s="6">
        <v>64.800003000000004</v>
      </c>
      <c r="C142" s="6">
        <v>92.419998000000007</v>
      </c>
      <c r="D142" s="6">
        <v>69</v>
      </c>
      <c r="E142" s="6">
        <v>49.639999000000003</v>
      </c>
      <c r="F142" s="6">
        <v>56.209999000000003</v>
      </c>
      <c r="G142" s="6">
        <v>86.839995999999999</v>
      </c>
      <c r="H142" s="6">
        <v>81.330001999999993</v>
      </c>
      <c r="I142" s="4"/>
    </row>
    <row r="143" spans="1:9" x14ac:dyDescent="0.45">
      <c r="A143" s="5">
        <v>42625</v>
      </c>
      <c r="B143" s="6">
        <v>65.980002999999996</v>
      </c>
      <c r="C143" s="6">
        <v>92.559997999999993</v>
      </c>
      <c r="D143" s="6">
        <v>69.230002999999996</v>
      </c>
      <c r="E143" s="6">
        <v>52.290000999999997</v>
      </c>
      <c r="F143" s="6">
        <v>57.25</v>
      </c>
      <c r="G143" s="6">
        <v>84.029999000000004</v>
      </c>
      <c r="H143" s="6">
        <v>82.07</v>
      </c>
      <c r="I143" s="4"/>
    </row>
    <row r="144" spans="1:9" x14ac:dyDescent="0.45">
      <c r="A144" s="5">
        <v>42632</v>
      </c>
      <c r="B144" s="6">
        <v>65.190002000000007</v>
      </c>
      <c r="C144" s="6">
        <v>93.269997000000004</v>
      </c>
      <c r="D144" s="6">
        <v>68.769997000000004</v>
      </c>
      <c r="E144" s="6">
        <v>49.990001999999997</v>
      </c>
      <c r="F144" s="6">
        <v>57.43</v>
      </c>
      <c r="G144" s="6">
        <v>83.449996999999996</v>
      </c>
      <c r="H144" s="6">
        <v>82.540001000000004</v>
      </c>
      <c r="I144" s="4"/>
    </row>
    <row r="145" spans="1:9" x14ac:dyDescent="0.45">
      <c r="A145" s="5">
        <v>42639</v>
      </c>
      <c r="B145" s="6">
        <v>60.98</v>
      </c>
      <c r="C145" s="6">
        <v>92.860000999999997</v>
      </c>
      <c r="D145" s="6">
        <v>68.680000000000007</v>
      </c>
      <c r="E145" s="6">
        <v>44.049999</v>
      </c>
      <c r="F145" s="6">
        <v>57.599997999999999</v>
      </c>
      <c r="G145" s="6">
        <v>87.279999000000004</v>
      </c>
      <c r="H145" s="6">
        <v>82.699996999999996</v>
      </c>
      <c r="I145" s="4"/>
    </row>
    <row r="146" spans="1:9" x14ac:dyDescent="0.45">
      <c r="A146" s="5">
        <v>42646</v>
      </c>
      <c r="B146" s="6">
        <v>58.290000999999997</v>
      </c>
      <c r="C146" s="6">
        <v>92.489998</v>
      </c>
      <c r="D146" s="6">
        <v>69.040001000000004</v>
      </c>
      <c r="E146" s="6">
        <v>45.5</v>
      </c>
      <c r="F146" s="6">
        <v>57.799999</v>
      </c>
      <c r="G146" s="6">
        <v>86.739998</v>
      </c>
      <c r="H146" s="6">
        <v>82.879997000000003</v>
      </c>
      <c r="I146" s="4"/>
    </row>
    <row r="147" spans="1:9" x14ac:dyDescent="0.45">
      <c r="A147" s="5">
        <v>42653</v>
      </c>
      <c r="B147" s="6">
        <v>56.619999</v>
      </c>
      <c r="C147" s="6">
        <v>91.300003000000004</v>
      </c>
      <c r="D147" s="6">
        <v>68.110000999999997</v>
      </c>
      <c r="E147" s="6">
        <v>48.5</v>
      </c>
      <c r="F147" s="6">
        <v>57.419998</v>
      </c>
      <c r="G147" s="6">
        <v>86.540001000000004</v>
      </c>
      <c r="H147" s="6">
        <v>82.449996999999996</v>
      </c>
      <c r="I147" s="4"/>
    </row>
    <row r="148" spans="1:9" x14ac:dyDescent="0.45">
      <c r="A148" s="5">
        <v>42660</v>
      </c>
      <c r="B148" s="6">
        <v>57</v>
      </c>
      <c r="C148" s="6">
        <v>93.029999000000004</v>
      </c>
      <c r="D148" s="6">
        <v>68.230002999999996</v>
      </c>
      <c r="E148" s="6">
        <v>49.169998</v>
      </c>
      <c r="F148" s="6">
        <v>59.66</v>
      </c>
      <c r="G148" s="6">
        <v>86.620002999999997</v>
      </c>
      <c r="H148" s="6">
        <v>82.349997999999999</v>
      </c>
      <c r="I148" s="4"/>
    </row>
    <row r="149" spans="1:9" x14ac:dyDescent="0.45">
      <c r="A149" s="5">
        <v>42667</v>
      </c>
      <c r="B149" s="6">
        <v>58.400002000000001</v>
      </c>
      <c r="C149" s="6">
        <v>93.849997999999999</v>
      </c>
      <c r="D149" s="6">
        <v>68.830001999999993</v>
      </c>
      <c r="E149" s="6">
        <v>47.560001</v>
      </c>
      <c r="F149" s="6">
        <v>59.869999</v>
      </c>
      <c r="G149" s="6">
        <v>84.779999000000004</v>
      </c>
      <c r="H149" s="6">
        <v>82.220000999999996</v>
      </c>
      <c r="I149" s="4"/>
    </row>
    <row r="150" spans="1:9" x14ac:dyDescent="0.45">
      <c r="A150" s="5">
        <v>42674</v>
      </c>
      <c r="B150" s="6">
        <v>55.84</v>
      </c>
      <c r="C150" s="6">
        <v>92.449996999999996</v>
      </c>
      <c r="D150" s="6">
        <v>66.529999000000004</v>
      </c>
      <c r="E150" s="6">
        <v>45.5</v>
      </c>
      <c r="F150" s="6">
        <v>58.709999000000003</v>
      </c>
      <c r="G150" s="6">
        <v>83.57</v>
      </c>
      <c r="H150" s="6">
        <v>80.360000999999997</v>
      </c>
      <c r="I150" s="4"/>
    </row>
    <row r="151" spans="1:9" x14ac:dyDescent="0.45">
      <c r="A151" s="5">
        <v>42681</v>
      </c>
      <c r="B151" s="6">
        <v>57.84</v>
      </c>
      <c r="C151" s="6">
        <v>97.68</v>
      </c>
      <c r="D151" s="6">
        <v>71.349997999999999</v>
      </c>
      <c r="E151" s="6">
        <v>47.060001</v>
      </c>
      <c r="F151" s="6">
        <v>59.02</v>
      </c>
      <c r="G151" s="6">
        <v>85.669998000000007</v>
      </c>
      <c r="H151" s="6">
        <v>81.879997000000003</v>
      </c>
      <c r="I151" s="4"/>
    </row>
    <row r="152" spans="1:9" x14ac:dyDescent="0.45">
      <c r="A152" s="5">
        <v>42688</v>
      </c>
      <c r="B152" s="6">
        <v>54.610000999999997</v>
      </c>
      <c r="C152" s="6">
        <v>98.239998</v>
      </c>
      <c r="D152" s="6">
        <v>76.190002000000007</v>
      </c>
      <c r="E152" s="6">
        <v>50.77</v>
      </c>
      <c r="F152" s="6">
        <v>60.349997999999999</v>
      </c>
      <c r="G152" s="6">
        <v>85.279999000000004</v>
      </c>
      <c r="H152" s="6">
        <v>80.819999999999993</v>
      </c>
      <c r="I152" s="4"/>
    </row>
    <row r="153" spans="1:9" x14ac:dyDescent="0.45">
      <c r="A153" s="5">
        <v>42695</v>
      </c>
      <c r="B153" s="6">
        <v>57.990001999999997</v>
      </c>
      <c r="C153" s="6">
        <v>98.82</v>
      </c>
      <c r="D153" s="6">
        <v>78.610000999999997</v>
      </c>
      <c r="E153" s="6">
        <v>49.98</v>
      </c>
      <c r="F153" s="6">
        <v>60.529998999999997</v>
      </c>
      <c r="G153" s="6">
        <v>87.120002999999997</v>
      </c>
      <c r="H153" s="6">
        <v>80.129997000000003</v>
      </c>
      <c r="I153" s="4"/>
    </row>
    <row r="154" spans="1:9" x14ac:dyDescent="0.45">
      <c r="A154" s="5">
        <v>42702</v>
      </c>
      <c r="B154" s="6">
        <v>55.310001</v>
      </c>
      <c r="C154" s="6">
        <v>98.5</v>
      </c>
      <c r="D154" s="6">
        <v>77.940002000000007</v>
      </c>
      <c r="E154" s="6">
        <v>48.060001</v>
      </c>
      <c r="F154" s="6">
        <v>59.25</v>
      </c>
      <c r="G154" s="6">
        <v>87.040001000000004</v>
      </c>
      <c r="H154" s="6">
        <v>75.720000999999996</v>
      </c>
      <c r="I154" s="4"/>
    </row>
    <row r="155" spans="1:9" x14ac:dyDescent="0.45">
      <c r="A155" s="5">
        <v>42709</v>
      </c>
      <c r="B155" s="6">
        <v>69.300003000000004</v>
      </c>
      <c r="C155" s="6">
        <v>104.860001</v>
      </c>
      <c r="D155" s="6">
        <v>77.389999000000003</v>
      </c>
      <c r="E155" s="6">
        <v>51.759998000000003</v>
      </c>
      <c r="F155" s="6">
        <v>61.970001000000003</v>
      </c>
      <c r="G155" s="6">
        <v>89</v>
      </c>
      <c r="H155" s="6">
        <v>79.139999000000003</v>
      </c>
      <c r="I155" s="4"/>
    </row>
    <row r="156" spans="1:9" x14ac:dyDescent="0.45">
      <c r="A156" s="5">
        <v>42716</v>
      </c>
      <c r="B156" s="6">
        <v>66.419998000000007</v>
      </c>
      <c r="C156" s="6">
        <v>103.910004</v>
      </c>
      <c r="D156" s="6">
        <v>76.75</v>
      </c>
      <c r="E156" s="6">
        <v>50.049999</v>
      </c>
      <c r="F156" s="6">
        <v>62.299999</v>
      </c>
      <c r="G156" s="6">
        <v>91.18</v>
      </c>
      <c r="H156" s="6">
        <v>78.349997999999999</v>
      </c>
      <c r="I156" s="4"/>
    </row>
    <row r="157" spans="1:9" x14ac:dyDescent="0.45">
      <c r="A157" s="5">
        <v>42723</v>
      </c>
      <c r="B157" s="6">
        <v>64.410004000000001</v>
      </c>
      <c r="C157" s="6">
        <v>105.150002</v>
      </c>
      <c r="D157" s="6">
        <v>73.5</v>
      </c>
      <c r="E157" s="6">
        <v>51.169998</v>
      </c>
      <c r="F157" s="6">
        <v>63.240001999999997</v>
      </c>
      <c r="G157" s="6">
        <v>90.709998999999996</v>
      </c>
      <c r="H157" s="6">
        <v>78.150002000000001</v>
      </c>
      <c r="I157" s="4"/>
    </row>
    <row r="158" spans="1:9" x14ac:dyDescent="0.45">
      <c r="A158" s="5">
        <v>42730</v>
      </c>
      <c r="B158" s="6">
        <v>64.989998</v>
      </c>
      <c r="C158" s="6">
        <v>104.220001</v>
      </c>
      <c r="D158" s="6">
        <v>72.230002999999996</v>
      </c>
      <c r="E158" s="6">
        <v>51.080002</v>
      </c>
      <c r="F158" s="6">
        <v>62.139999000000003</v>
      </c>
      <c r="G158" s="6">
        <v>90.260002</v>
      </c>
      <c r="H158" s="6">
        <v>78.019997000000004</v>
      </c>
      <c r="I158" s="4"/>
    </row>
    <row r="159" spans="1:9" x14ac:dyDescent="0.45">
      <c r="A159" s="5">
        <v>42737</v>
      </c>
      <c r="B159" s="6">
        <v>68.269997000000004</v>
      </c>
      <c r="C159" s="6">
        <v>108.980003</v>
      </c>
      <c r="D159" s="6">
        <v>71.440002000000007</v>
      </c>
      <c r="E159" s="6">
        <v>49.34</v>
      </c>
      <c r="F159" s="6">
        <v>62.84</v>
      </c>
      <c r="G159" s="6">
        <v>88.5</v>
      </c>
      <c r="H159" s="6">
        <v>82.209998999999996</v>
      </c>
      <c r="I159" s="4"/>
    </row>
    <row r="160" spans="1:9" x14ac:dyDescent="0.45">
      <c r="A160" s="5">
        <v>42744</v>
      </c>
      <c r="B160" s="6">
        <v>67.919998000000007</v>
      </c>
      <c r="C160" s="6">
        <v>108.05999799999999</v>
      </c>
      <c r="D160" s="6">
        <v>70.190002000000007</v>
      </c>
      <c r="E160" s="6">
        <v>47.049999</v>
      </c>
      <c r="F160" s="6">
        <v>62.700001</v>
      </c>
      <c r="G160" s="6">
        <v>86.349997999999999</v>
      </c>
      <c r="H160" s="6">
        <v>81.169998000000007</v>
      </c>
      <c r="I160" s="4"/>
    </row>
    <row r="161" spans="1:9" x14ac:dyDescent="0.45">
      <c r="A161" s="5">
        <v>42751</v>
      </c>
      <c r="B161" s="6">
        <v>67.319999999999993</v>
      </c>
      <c r="C161" s="6">
        <v>107.660004</v>
      </c>
      <c r="D161" s="6">
        <v>64.099997999999999</v>
      </c>
      <c r="E161" s="6">
        <v>47.139999000000003</v>
      </c>
      <c r="F161" s="6">
        <v>62.740001999999997</v>
      </c>
      <c r="G161" s="6">
        <v>85.889999000000003</v>
      </c>
      <c r="H161" s="6">
        <v>81.839995999999999</v>
      </c>
      <c r="I161" s="4"/>
    </row>
    <row r="162" spans="1:9" x14ac:dyDescent="0.45">
      <c r="A162" s="5">
        <v>42758</v>
      </c>
      <c r="B162" s="6">
        <v>66.819999999999993</v>
      </c>
      <c r="C162" s="6">
        <v>109.300003</v>
      </c>
      <c r="D162" s="6">
        <v>63.700001</v>
      </c>
      <c r="E162" s="6">
        <v>49.400002000000001</v>
      </c>
      <c r="F162" s="6">
        <v>65.779999000000004</v>
      </c>
      <c r="G162" s="6">
        <v>85.510002</v>
      </c>
      <c r="H162" s="6">
        <v>83.769997000000004</v>
      </c>
      <c r="I162" s="4"/>
    </row>
    <row r="163" spans="1:9" x14ac:dyDescent="0.45">
      <c r="A163" s="5">
        <v>42765</v>
      </c>
      <c r="B163" s="6">
        <v>66.389999000000003</v>
      </c>
      <c r="C163" s="6">
        <v>110.300003</v>
      </c>
      <c r="D163" s="6">
        <v>63.75</v>
      </c>
      <c r="E163" s="6">
        <v>52.98</v>
      </c>
      <c r="F163" s="6">
        <v>63.68</v>
      </c>
      <c r="G163" s="6">
        <v>83.540001000000004</v>
      </c>
      <c r="H163" s="6">
        <v>86.080001999999993</v>
      </c>
      <c r="I163" s="4"/>
    </row>
    <row r="164" spans="1:9" x14ac:dyDescent="0.45">
      <c r="A164" s="5">
        <v>42772</v>
      </c>
      <c r="B164" s="6">
        <v>67.620002999999997</v>
      </c>
      <c r="C164" s="6">
        <v>109.260002</v>
      </c>
      <c r="D164" s="6">
        <v>65.730002999999996</v>
      </c>
      <c r="E164" s="6">
        <v>57.029998999999997</v>
      </c>
      <c r="F164" s="6">
        <v>64</v>
      </c>
      <c r="G164" s="6">
        <v>82.519997000000004</v>
      </c>
      <c r="H164" s="6">
        <v>85.900002000000001</v>
      </c>
      <c r="I164" s="4"/>
    </row>
    <row r="165" spans="1:9" x14ac:dyDescent="0.45">
      <c r="A165" s="5">
        <v>42779</v>
      </c>
      <c r="B165" s="6">
        <v>66.730002999999996</v>
      </c>
      <c r="C165" s="6">
        <v>110.05999799999999</v>
      </c>
      <c r="D165" s="6">
        <v>65.790001000000004</v>
      </c>
      <c r="E165" s="6">
        <v>57.709999000000003</v>
      </c>
      <c r="F165" s="6">
        <v>64.620002999999997</v>
      </c>
      <c r="G165" s="6">
        <v>81.760002</v>
      </c>
      <c r="H165" s="6">
        <v>87.459998999999996</v>
      </c>
      <c r="I165" s="4"/>
    </row>
    <row r="166" spans="1:9" x14ac:dyDescent="0.45">
      <c r="A166" s="5">
        <v>42786</v>
      </c>
      <c r="B166" s="6">
        <v>65.319999999999993</v>
      </c>
      <c r="C166" s="6">
        <v>110.32</v>
      </c>
      <c r="D166" s="6">
        <v>66.510002</v>
      </c>
      <c r="E166" s="6">
        <v>58.599997999999999</v>
      </c>
      <c r="F166" s="6">
        <v>64.620002999999997</v>
      </c>
      <c r="G166" s="6">
        <v>81.080001999999993</v>
      </c>
      <c r="H166" s="6">
        <v>88.43</v>
      </c>
      <c r="I166" s="4"/>
    </row>
    <row r="167" spans="1:9" x14ac:dyDescent="0.45">
      <c r="A167" s="5">
        <v>42793</v>
      </c>
      <c r="B167" s="6">
        <v>65.699996999999996</v>
      </c>
      <c r="C167" s="6">
        <v>111.239998</v>
      </c>
      <c r="D167" s="6">
        <v>57.349997999999999</v>
      </c>
      <c r="E167" s="6">
        <v>60.580002</v>
      </c>
      <c r="F167" s="6">
        <v>64.25</v>
      </c>
      <c r="G167" s="6">
        <v>82.459998999999996</v>
      </c>
      <c r="H167" s="6">
        <v>88.790001000000004</v>
      </c>
      <c r="I167" s="4"/>
    </row>
    <row r="168" spans="1:9" x14ac:dyDescent="0.45">
      <c r="A168" s="5">
        <v>42800</v>
      </c>
      <c r="B168" s="6">
        <v>65.080001999999993</v>
      </c>
      <c r="C168" s="6">
        <v>110.91999800000001</v>
      </c>
      <c r="D168" s="6">
        <v>55.360000999999997</v>
      </c>
      <c r="E168" s="6">
        <v>71.370002999999997</v>
      </c>
      <c r="F168" s="6">
        <v>64.930000000000007</v>
      </c>
      <c r="G168" s="6">
        <v>81.610000999999997</v>
      </c>
      <c r="H168" s="6">
        <v>89.730002999999996</v>
      </c>
      <c r="I168" s="4"/>
    </row>
    <row r="169" spans="1:9" x14ac:dyDescent="0.45">
      <c r="A169" s="5">
        <v>42807</v>
      </c>
      <c r="B169" s="6">
        <v>64.040001000000004</v>
      </c>
      <c r="C169" s="6">
        <v>111.760002</v>
      </c>
      <c r="D169" s="6">
        <v>54.290000999999997</v>
      </c>
      <c r="E169" s="6">
        <v>77.370002999999997</v>
      </c>
      <c r="F169" s="6">
        <v>64.870002999999997</v>
      </c>
      <c r="G169" s="6">
        <v>82</v>
      </c>
      <c r="H169" s="6">
        <v>90.239998</v>
      </c>
      <c r="I169" s="4"/>
    </row>
    <row r="170" spans="1:9" x14ac:dyDescent="0.45">
      <c r="A170" s="5">
        <v>42814</v>
      </c>
      <c r="B170" s="6">
        <v>63.689999</v>
      </c>
      <c r="C170" s="6">
        <v>112.139999</v>
      </c>
      <c r="D170" s="6">
        <v>53.119999</v>
      </c>
      <c r="E170" s="6">
        <v>80.290001000000004</v>
      </c>
      <c r="F170" s="6">
        <v>64.980002999999996</v>
      </c>
      <c r="G170" s="6">
        <v>81.230002999999996</v>
      </c>
      <c r="H170" s="6">
        <v>89.190002000000007</v>
      </c>
      <c r="I170" s="4"/>
    </row>
    <row r="171" spans="1:9" x14ac:dyDescent="0.45">
      <c r="A171" s="5">
        <v>42821</v>
      </c>
      <c r="B171" s="6">
        <v>51.869999</v>
      </c>
      <c r="C171" s="6">
        <v>113.389999</v>
      </c>
      <c r="D171" s="6">
        <v>55.189999</v>
      </c>
      <c r="E171" s="6">
        <v>84.529999000000004</v>
      </c>
      <c r="F171" s="6">
        <v>65.860000999999997</v>
      </c>
      <c r="G171" s="6">
        <v>82.010002</v>
      </c>
      <c r="H171" s="6">
        <v>88.870002999999997</v>
      </c>
      <c r="I171" s="4"/>
    </row>
    <row r="172" spans="1:9" x14ac:dyDescent="0.45">
      <c r="A172" s="5">
        <v>42828</v>
      </c>
      <c r="B172" s="6">
        <v>50.630001</v>
      </c>
      <c r="C172" s="6">
        <v>112.58000199999999</v>
      </c>
      <c r="D172" s="6">
        <v>53.240001999999997</v>
      </c>
      <c r="E172" s="6">
        <v>85.050003000000004</v>
      </c>
      <c r="F172" s="6">
        <v>65.680000000000007</v>
      </c>
      <c r="G172" s="6">
        <v>82.760002</v>
      </c>
      <c r="H172" s="6">
        <v>88.739998</v>
      </c>
      <c r="I172" s="4"/>
    </row>
    <row r="173" spans="1:9" x14ac:dyDescent="0.45">
      <c r="A173" s="5">
        <v>42835</v>
      </c>
      <c r="B173" s="6">
        <v>51.220001000000003</v>
      </c>
      <c r="C173" s="6">
        <v>113.199997</v>
      </c>
      <c r="D173" s="6">
        <v>53.389999000000003</v>
      </c>
      <c r="E173" s="6">
        <v>85.599997999999999</v>
      </c>
      <c r="F173" s="6">
        <v>64.949996999999996</v>
      </c>
      <c r="G173" s="6">
        <v>81.690002000000007</v>
      </c>
      <c r="H173" s="6">
        <v>88.870002999999997</v>
      </c>
      <c r="I173" s="4"/>
    </row>
    <row r="174" spans="1:9" x14ac:dyDescent="0.45">
      <c r="A174" s="5">
        <v>42842</v>
      </c>
      <c r="B174" s="6">
        <v>53.080002</v>
      </c>
      <c r="C174" s="6">
        <v>114.44000200000001</v>
      </c>
      <c r="D174" s="6">
        <v>54.779998999999997</v>
      </c>
      <c r="E174" s="6">
        <v>85.489998</v>
      </c>
      <c r="F174" s="6">
        <v>66.400002000000001</v>
      </c>
      <c r="G174" s="6">
        <v>80.690002000000007</v>
      </c>
      <c r="H174" s="6">
        <v>91.150002000000001</v>
      </c>
      <c r="I174" s="4"/>
    </row>
    <row r="175" spans="1:9" x14ac:dyDescent="0.45">
      <c r="A175" s="5">
        <v>42849</v>
      </c>
      <c r="B175" s="6">
        <v>52</v>
      </c>
      <c r="C175" s="6">
        <v>115.599998</v>
      </c>
      <c r="D175" s="6">
        <v>55.849997999999999</v>
      </c>
      <c r="E175" s="6">
        <v>88.589995999999999</v>
      </c>
      <c r="F175" s="6">
        <v>68.459998999999996</v>
      </c>
      <c r="G175" s="6">
        <v>81.650002000000001</v>
      </c>
      <c r="H175" s="6">
        <v>91.220000999999996</v>
      </c>
      <c r="I175" s="4"/>
    </row>
    <row r="176" spans="1:9" x14ac:dyDescent="0.45">
      <c r="A176" s="5">
        <v>42856</v>
      </c>
      <c r="B176" s="6">
        <v>51.950001</v>
      </c>
      <c r="C176" s="6">
        <v>111.989998</v>
      </c>
      <c r="D176" s="6">
        <v>57.32</v>
      </c>
      <c r="E176" s="6">
        <v>83.07</v>
      </c>
      <c r="F176" s="6">
        <v>69</v>
      </c>
      <c r="G176" s="6">
        <v>82.019997000000004</v>
      </c>
      <c r="H176" s="6">
        <v>92.089995999999999</v>
      </c>
      <c r="I176" s="4"/>
    </row>
    <row r="177" spans="1:9" x14ac:dyDescent="0.45">
      <c r="A177" s="5">
        <v>42863</v>
      </c>
      <c r="B177" s="6">
        <v>53.119999</v>
      </c>
      <c r="C177" s="6">
        <v>109.69000200000001</v>
      </c>
      <c r="D177" s="6">
        <v>55.799999</v>
      </c>
      <c r="E177" s="6">
        <v>83.709998999999996</v>
      </c>
      <c r="F177" s="6">
        <v>68.379997000000003</v>
      </c>
      <c r="G177" s="6">
        <v>82.550003000000004</v>
      </c>
      <c r="H177" s="6">
        <v>92.730002999999996</v>
      </c>
      <c r="I177" s="4"/>
    </row>
    <row r="178" spans="1:9" x14ac:dyDescent="0.45">
      <c r="A178" s="5">
        <v>42870</v>
      </c>
      <c r="B178" s="6">
        <v>49.290000999999997</v>
      </c>
      <c r="C178" s="6">
        <v>107.519997</v>
      </c>
      <c r="D178" s="6">
        <v>55.990001999999997</v>
      </c>
      <c r="E178" s="6">
        <v>87.5</v>
      </c>
      <c r="F178" s="6">
        <v>67.690002000000007</v>
      </c>
      <c r="G178" s="6">
        <v>81.93</v>
      </c>
      <c r="H178" s="6">
        <v>92.480002999999996</v>
      </c>
      <c r="I178" s="4"/>
    </row>
    <row r="179" spans="1:9" x14ac:dyDescent="0.45">
      <c r="A179" s="5">
        <v>42877</v>
      </c>
      <c r="B179" s="6">
        <v>48.23</v>
      </c>
      <c r="C179" s="6">
        <v>108.410004</v>
      </c>
      <c r="D179" s="6">
        <v>54.400002000000001</v>
      </c>
      <c r="E179" s="6">
        <v>94.669998000000007</v>
      </c>
      <c r="F179" s="6">
        <v>69.959998999999996</v>
      </c>
      <c r="G179" s="6">
        <v>81.550003000000004</v>
      </c>
      <c r="H179" s="6">
        <v>94.669998000000007</v>
      </c>
      <c r="I179" s="4"/>
    </row>
    <row r="180" spans="1:9" x14ac:dyDescent="0.45">
      <c r="A180" s="5">
        <v>42884</v>
      </c>
      <c r="B180" s="6">
        <v>54.290000999999997</v>
      </c>
      <c r="C180" s="6">
        <v>107.18</v>
      </c>
      <c r="D180" s="6">
        <v>55.52</v>
      </c>
      <c r="E180" s="6">
        <v>94.389999000000003</v>
      </c>
      <c r="F180" s="6">
        <v>71.760002</v>
      </c>
      <c r="G180" s="6">
        <v>79.5</v>
      </c>
      <c r="H180" s="6">
        <v>96.150002000000001</v>
      </c>
      <c r="I180" s="4"/>
    </row>
    <row r="181" spans="1:9" x14ac:dyDescent="0.45">
      <c r="A181" s="5">
        <v>42891</v>
      </c>
      <c r="B181" s="6">
        <v>51.700001</v>
      </c>
      <c r="C181" s="6">
        <v>105.620003</v>
      </c>
      <c r="D181" s="6">
        <v>56.900002000000001</v>
      </c>
      <c r="E181" s="6">
        <v>87.239998</v>
      </c>
      <c r="F181" s="6">
        <v>70.319999999999993</v>
      </c>
      <c r="G181" s="6">
        <v>82.129997000000003</v>
      </c>
      <c r="H181" s="6">
        <v>94.559997999999993</v>
      </c>
      <c r="I181" s="4"/>
    </row>
    <row r="182" spans="1:9" x14ac:dyDescent="0.45">
      <c r="A182" s="5">
        <v>42898</v>
      </c>
      <c r="B182" s="6">
        <v>52.970001000000003</v>
      </c>
      <c r="C182" s="6">
        <v>105.510002</v>
      </c>
      <c r="D182" s="6">
        <v>52.610000999999997</v>
      </c>
      <c r="E182" s="6">
        <v>89.25</v>
      </c>
      <c r="F182" s="6">
        <v>70</v>
      </c>
      <c r="G182" s="6">
        <v>83.489998</v>
      </c>
      <c r="H182" s="6">
        <v>94.169998000000007</v>
      </c>
      <c r="I182" s="4"/>
    </row>
    <row r="183" spans="1:9" x14ac:dyDescent="0.45">
      <c r="A183" s="5">
        <v>42905</v>
      </c>
      <c r="B183" s="6">
        <v>55.369999</v>
      </c>
      <c r="C183" s="6">
        <v>104.360001</v>
      </c>
      <c r="D183" s="6">
        <v>50.759998000000003</v>
      </c>
      <c r="E183" s="6">
        <v>94.690002000000007</v>
      </c>
      <c r="F183" s="6">
        <v>71.209998999999996</v>
      </c>
      <c r="G183" s="6">
        <v>81.610000999999997</v>
      </c>
      <c r="H183" s="6">
        <v>95.580001999999993</v>
      </c>
      <c r="I183" s="4"/>
    </row>
    <row r="184" spans="1:9" x14ac:dyDescent="0.45">
      <c r="A184" s="5">
        <v>42912</v>
      </c>
      <c r="B184" s="6">
        <v>59.669998</v>
      </c>
      <c r="C184" s="6">
        <v>106.25</v>
      </c>
      <c r="D184" s="6">
        <v>52.290000999999997</v>
      </c>
      <c r="E184" s="6">
        <v>93.559997999999993</v>
      </c>
      <c r="F184" s="6">
        <v>68.930000000000007</v>
      </c>
      <c r="G184" s="6">
        <v>80.730002999999996</v>
      </c>
      <c r="H184" s="6">
        <v>93.779999000000004</v>
      </c>
      <c r="I184" s="4"/>
    </row>
    <row r="185" spans="1:9" x14ac:dyDescent="0.45">
      <c r="A185" s="5">
        <v>42919</v>
      </c>
      <c r="B185" s="6">
        <v>58.360000999999997</v>
      </c>
      <c r="C185" s="6">
        <v>103.32</v>
      </c>
      <c r="D185" s="6">
        <v>51.07</v>
      </c>
      <c r="E185" s="6">
        <v>96.57</v>
      </c>
      <c r="F185" s="6">
        <v>69.459998999999996</v>
      </c>
      <c r="G185" s="6">
        <v>80.220000999999996</v>
      </c>
      <c r="H185" s="6">
        <v>93.919998000000007</v>
      </c>
      <c r="I185" s="4"/>
    </row>
    <row r="186" spans="1:9" x14ac:dyDescent="0.45">
      <c r="A186" s="5">
        <v>42926</v>
      </c>
      <c r="B186" s="6">
        <v>59.810001</v>
      </c>
      <c r="C186" s="6">
        <v>105.089996</v>
      </c>
      <c r="D186" s="6">
        <v>53.23</v>
      </c>
      <c r="E186" s="6">
        <v>100.709999</v>
      </c>
      <c r="F186" s="6">
        <v>72.779999000000004</v>
      </c>
      <c r="G186" s="6">
        <v>81.279999000000004</v>
      </c>
      <c r="H186" s="6">
        <v>96.93</v>
      </c>
      <c r="I186" s="4"/>
    </row>
    <row r="187" spans="1:9" x14ac:dyDescent="0.45">
      <c r="A187" s="5">
        <v>42933</v>
      </c>
      <c r="B187" s="6">
        <v>61.939999</v>
      </c>
      <c r="C187" s="6">
        <v>107.089996</v>
      </c>
      <c r="D187" s="6">
        <v>54.84</v>
      </c>
      <c r="E187" s="6">
        <v>103.660004</v>
      </c>
      <c r="F187" s="6">
        <v>73.790001000000004</v>
      </c>
      <c r="G187" s="6">
        <v>80.120002999999997</v>
      </c>
      <c r="H187" s="6">
        <v>99.599997999999999</v>
      </c>
      <c r="I187" s="4"/>
    </row>
    <row r="188" spans="1:9" x14ac:dyDescent="0.45">
      <c r="A188" s="5">
        <v>42940</v>
      </c>
      <c r="B188" s="6">
        <v>61.830002</v>
      </c>
      <c r="C188" s="6">
        <v>109.959999</v>
      </c>
      <c r="D188" s="6">
        <v>56.110000999999997</v>
      </c>
      <c r="E188" s="6">
        <v>102.69000200000001</v>
      </c>
      <c r="F188" s="6">
        <v>73.040001000000004</v>
      </c>
      <c r="G188" s="6">
        <v>79.599997999999999</v>
      </c>
      <c r="H188" s="6">
        <v>99.150002000000001</v>
      </c>
      <c r="I188" s="4"/>
    </row>
    <row r="189" spans="1:9" x14ac:dyDescent="0.45">
      <c r="A189" s="5">
        <v>42947</v>
      </c>
      <c r="B189" s="6">
        <v>61.759998000000003</v>
      </c>
      <c r="C189" s="6">
        <v>107.69000200000001</v>
      </c>
      <c r="D189" s="6">
        <v>57.580002</v>
      </c>
      <c r="E189" s="6">
        <v>109.05999799999999</v>
      </c>
      <c r="F189" s="6">
        <v>72.680000000000007</v>
      </c>
      <c r="G189" s="6">
        <v>80.209998999999996</v>
      </c>
      <c r="H189" s="6">
        <v>100.889999</v>
      </c>
      <c r="I189" s="4"/>
    </row>
    <row r="190" spans="1:9" x14ac:dyDescent="0.45">
      <c r="A190" s="5">
        <v>42954</v>
      </c>
      <c r="B190" s="6">
        <v>59.759998000000003</v>
      </c>
      <c r="C190" s="6">
        <v>101.989998</v>
      </c>
      <c r="D190" s="6">
        <v>55.650002000000001</v>
      </c>
      <c r="E190" s="6">
        <v>108.010002</v>
      </c>
      <c r="F190" s="6">
        <v>72.5</v>
      </c>
      <c r="G190" s="6">
        <v>78.209998999999996</v>
      </c>
      <c r="H190" s="6">
        <v>100.089996</v>
      </c>
      <c r="I190" s="4"/>
    </row>
    <row r="191" spans="1:9" x14ac:dyDescent="0.45">
      <c r="A191" s="5">
        <v>42961</v>
      </c>
      <c r="B191" s="6">
        <v>58.130001</v>
      </c>
      <c r="C191" s="6">
        <v>100.699997</v>
      </c>
      <c r="D191" s="6">
        <v>55.650002000000001</v>
      </c>
      <c r="E191" s="6">
        <v>112.480003</v>
      </c>
      <c r="F191" s="6">
        <v>72.489998</v>
      </c>
      <c r="G191" s="6">
        <v>76.639999000000003</v>
      </c>
      <c r="H191" s="6">
        <v>102.510002</v>
      </c>
      <c r="I191" s="4"/>
    </row>
    <row r="192" spans="1:9" x14ac:dyDescent="0.45">
      <c r="A192" s="5">
        <v>42968</v>
      </c>
      <c r="B192" s="6">
        <v>60.209999000000003</v>
      </c>
      <c r="C192" s="6">
        <v>102.410004</v>
      </c>
      <c r="D192" s="6">
        <v>55.009998000000003</v>
      </c>
      <c r="E192" s="6">
        <v>113.68</v>
      </c>
      <c r="F192" s="6">
        <v>72.819999999999993</v>
      </c>
      <c r="G192" s="6">
        <v>76.720000999999996</v>
      </c>
      <c r="H192" s="6">
        <v>103.349998</v>
      </c>
      <c r="I192" s="4"/>
    </row>
    <row r="193" spans="1:9" x14ac:dyDescent="0.45">
      <c r="A193" s="5">
        <v>42975</v>
      </c>
      <c r="B193" s="6">
        <v>61.689999</v>
      </c>
      <c r="C193" s="6">
        <v>101.5</v>
      </c>
      <c r="D193" s="6">
        <v>56.220001000000003</v>
      </c>
      <c r="E193" s="6">
        <v>117.05999799999999</v>
      </c>
      <c r="F193" s="6">
        <v>73.940002000000007</v>
      </c>
      <c r="G193" s="6">
        <v>76.569999999999993</v>
      </c>
      <c r="H193" s="6">
        <v>103.900002</v>
      </c>
      <c r="I193" s="4"/>
    </row>
    <row r="194" spans="1:9" x14ac:dyDescent="0.45">
      <c r="A194" s="5">
        <v>42982</v>
      </c>
      <c r="B194" s="6">
        <v>62.34</v>
      </c>
      <c r="C194" s="6">
        <v>97.07</v>
      </c>
      <c r="D194" s="6">
        <v>57.27</v>
      </c>
      <c r="E194" s="6">
        <v>122.540001</v>
      </c>
      <c r="F194" s="6">
        <v>73.980002999999996</v>
      </c>
      <c r="G194" s="6">
        <v>78.819999999999993</v>
      </c>
      <c r="H194" s="6">
        <v>104.43</v>
      </c>
      <c r="I194" s="4"/>
    </row>
    <row r="195" spans="1:9" x14ac:dyDescent="0.45">
      <c r="A195" s="5">
        <v>42989</v>
      </c>
      <c r="B195" s="6">
        <v>60.599997999999999</v>
      </c>
      <c r="C195" s="6">
        <v>98.519997000000004</v>
      </c>
      <c r="D195" s="6">
        <v>59.959999000000003</v>
      </c>
      <c r="E195" s="6">
        <v>119.800003</v>
      </c>
      <c r="F195" s="6">
        <v>75.309997999999993</v>
      </c>
      <c r="G195" s="6">
        <v>80.069999999999993</v>
      </c>
      <c r="H195" s="6">
        <v>105.300003</v>
      </c>
      <c r="I195" s="4"/>
    </row>
    <row r="196" spans="1:9" x14ac:dyDescent="0.45">
      <c r="A196" s="5">
        <v>42996</v>
      </c>
      <c r="B196" s="6">
        <v>58.139999000000003</v>
      </c>
      <c r="C196" s="6">
        <v>98.599997999999999</v>
      </c>
      <c r="D196" s="6">
        <v>58.990001999999997</v>
      </c>
      <c r="E196" s="6">
        <v>118.260002</v>
      </c>
      <c r="F196" s="6">
        <v>74.410004000000001</v>
      </c>
      <c r="G196" s="6">
        <v>79.919998000000007</v>
      </c>
      <c r="H196" s="6">
        <v>105.55999799999999</v>
      </c>
      <c r="I196" s="4"/>
    </row>
    <row r="197" spans="1:9" x14ac:dyDescent="0.45">
      <c r="A197" s="5">
        <v>43003</v>
      </c>
      <c r="B197" s="6">
        <v>62.25</v>
      </c>
      <c r="C197" s="6">
        <v>98.57</v>
      </c>
      <c r="D197" s="6">
        <v>59.009998000000003</v>
      </c>
      <c r="E197" s="6">
        <v>124.050003</v>
      </c>
      <c r="F197" s="6">
        <v>74.489998</v>
      </c>
      <c r="G197" s="6">
        <v>81.980002999999996</v>
      </c>
      <c r="H197" s="6">
        <v>105.239998</v>
      </c>
      <c r="I197" s="4"/>
    </row>
    <row r="198" spans="1:9" x14ac:dyDescent="0.45">
      <c r="A198" s="5">
        <v>43010</v>
      </c>
      <c r="B198" s="6">
        <v>61.299999</v>
      </c>
      <c r="C198" s="6">
        <v>100.07</v>
      </c>
      <c r="D198" s="6">
        <v>57.119999</v>
      </c>
      <c r="E198" s="6">
        <v>109.19000200000001</v>
      </c>
      <c r="F198" s="6">
        <v>76</v>
      </c>
      <c r="G198" s="6">
        <v>81.709998999999996</v>
      </c>
      <c r="H198" s="6">
        <v>106.730003</v>
      </c>
      <c r="I198" s="4"/>
    </row>
    <row r="199" spans="1:9" x14ac:dyDescent="0.45">
      <c r="A199" s="5">
        <v>43017</v>
      </c>
      <c r="B199" s="6">
        <v>59.169998</v>
      </c>
      <c r="C199" s="6">
        <v>97.379997000000003</v>
      </c>
      <c r="D199" s="6">
        <v>60.849997999999999</v>
      </c>
      <c r="E199" s="6">
        <v>105</v>
      </c>
      <c r="F199" s="6">
        <v>77.489998</v>
      </c>
      <c r="G199" s="6">
        <v>82.410004000000001</v>
      </c>
      <c r="H199" s="6">
        <v>108.660004</v>
      </c>
      <c r="I199" s="4"/>
    </row>
    <row r="200" spans="1:9" x14ac:dyDescent="0.45">
      <c r="A200" s="5">
        <v>43024</v>
      </c>
      <c r="B200" s="6">
        <v>63.290000999999997</v>
      </c>
      <c r="C200" s="6">
        <v>99.400002000000001</v>
      </c>
      <c r="D200" s="6">
        <v>61.759998000000003</v>
      </c>
      <c r="E200" s="6">
        <v>96.440002000000007</v>
      </c>
      <c r="F200" s="6">
        <v>78.809997999999993</v>
      </c>
      <c r="G200" s="6">
        <v>83.110000999999997</v>
      </c>
      <c r="H200" s="6">
        <v>107.550003</v>
      </c>
      <c r="I200" s="4"/>
    </row>
    <row r="201" spans="1:9" x14ac:dyDescent="0.45">
      <c r="A201" s="5">
        <v>43031</v>
      </c>
      <c r="B201" s="6">
        <v>62.400002000000001</v>
      </c>
      <c r="C201" s="6">
        <v>98.309997999999993</v>
      </c>
      <c r="D201" s="6">
        <v>60.259998000000003</v>
      </c>
      <c r="E201" s="6">
        <v>95.279999000000004</v>
      </c>
      <c r="F201" s="6">
        <v>83.809997999999993</v>
      </c>
      <c r="G201" s="6">
        <v>83.709998999999996</v>
      </c>
      <c r="H201" s="6">
        <v>109.709999</v>
      </c>
      <c r="I201" s="4"/>
    </row>
    <row r="202" spans="1:9" x14ac:dyDescent="0.45">
      <c r="A202" s="5">
        <v>43038</v>
      </c>
      <c r="B202" s="6">
        <v>61.150002000000001</v>
      </c>
      <c r="C202" s="6">
        <v>98.639999000000003</v>
      </c>
      <c r="D202" s="6">
        <v>59.360000999999997</v>
      </c>
      <c r="E202" s="6">
        <v>93.910004000000001</v>
      </c>
      <c r="F202" s="6">
        <v>84.139999000000003</v>
      </c>
      <c r="G202" s="6">
        <v>83.18</v>
      </c>
      <c r="H202" s="6">
        <v>111.360001</v>
      </c>
      <c r="I202" s="4"/>
    </row>
    <row r="203" spans="1:9" x14ac:dyDescent="0.45">
      <c r="A203" s="5">
        <v>43045</v>
      </c>
      <c r="B203" s="6">
        <v>64.870002999999997</v>
      </c>
      <c r="C203" s="6">
        <v>104.779999</v>
      </c>
      <c r="D203" s="6">
        <v>61.400002000000001</v>
      </c>
      <c r="E203" s="6">
        <v>96.410004000000001</v>
      </c>
      <c r="F203" s="6">
        <v>83.870002999999997</v>
      </c>
      <c r="G203" s="6">
        <v>82.940002000000007</v>
      </c>
      <c r="H203" s="6">
        <v>111.879997</v>
      </c>
      <c r="I203" s="4"/>
    </row>
    <row r="204" spans="1:9" x14ac:dyDescent="0.45">
      <c r="A204" s="5">
        <v>43052</v>
      </c>
      <c r="B204" s="6">
        <v>66.309997999999993</v>
      </c>
      <c r="C204" s="6">
        <v>103.44000200000001</v>
      </c>
      <c r="D204" s="6">
        <v>58.139999000000003</v>
      </c>
      <c r="E204" s="6">
        <v>102.230003</v>
      </c>
      <c r="F204" s="6">
        <v>82.400002000000001</v>
      </c>
      <c r="G204" s="6">
        <v>80.239998</v>
      </c>
      <c r="H204" s="6">
        <v>109.82</v>
      </c>
      <c r="I204" s="4"/>
    </row>
    <row r="205" spans="1:9" x14ac:dyDescent="0.45">
      <c r="A205" s="5">
        <v>43059</v>
      </c>
      <c r="B205" s="6">
        <v>66.790001000000004</v>
      </c>
      <c r="C205" s="6">
        <v>102.639999</v>
      </c>
      <c r="D205" s="6">
        <v>55.880001</v>
      </c>
      <c r="E205" s="6">
        <v>106.019997</v>
      </c>
      <c r="F205" s="6">
        <v>83.260002</v>
      </c>
      <c r="G205" s="6">
        <v>81.419998000000007</v>
      </c>
      <c r="H205" s="6">
        <v>111.970001</v>
      </c>
      <c r="I205" s="4"/>
    </row>
    <row r="206" spans="1:9" x14ac:dyDescent="0.45">
      <c r="A206" s="5">
        <v>43066</v>
      </c>
      <c r="B206" s="6">
        <v>67.220000999999996</v>
      </c>
      <c r="C206" s="6">
        <v>105.25</v>
      </c>
      <c r="D206" s="6">
        <v>59.509998000000003</v>
      </c>
      <c r="E206" s="6">
        <v>106.720001</v>
      </c>
      <c r="F206" s="6">
        <v>84.260002</v>
      </c>
      <c r="G206" s="6">
        <v>83.459998999999996</v>
      </c>
      <c r="H206" s="6">
        <v>110.730003</v>
      </c>
      <c r="I206" s="4"/>
    </row>
    <row r="207" spans="1:9" x14ac:dyDescent="0.45">
      <c r="A207" s="5">
        <v>43073</v>
      </c>
      <c r="B207" s="6">
        <v>73.769997000000004</v>
      </c>
      <c r="C207" s="6">
        <v>104.230003</v>
      </c>
      <c r="D207" s="6">
        <v>61.369999</v>
      </c>
      <c r="E207" s="6">
        <v>100.839996</v>
      </c>
      <c r="F207" s="6">
        <v>84.160004000000001</v>
      </c>
      <c r="G207" s="6">
        <v>82.660004000000001</v>
      </c>
      <c r="H207" s="6">
        <v>112.599998</v>
      </c>
      <c r="I207" s="4"/>
    </row>
    <row r="208" spans="1:9" x14ac:dyDescent="0.45">
      <c r="A208" s="5">
        <v>43080</v>
      </c>
      <c r="B208" s="6">
        <v>75.819999999999993</v>
      </c>
      <c r="C208" s="6">
        <v>111.269997</v>
      </c>
      <c r="D208" s="6">
        <v>62.610000999999997</v>
      </c>
      <c r="E208" s="6">
        <v>103.209999</v>
      </c>
      <c r="F208" s="6">
        <v>86.849997999999999</v>
      </c>
      <c r="G208" s="6">
        <v>83.029999000000004</v>
      </c>
      <c r="H208" s="6">
        <v>113.82</v>
      </c>
      <c r="I208" s="4"/>
    </row>
    <row r="209" spans="1:9" x14ac:dyDescent="0.45">
      <c r="A209" s="5">
        <v>43087</v>
      </c>
      <c r="B209" s="6">
        <v>78.480002999999996</v>
      </c>
      <c r="C209" s="6">
        <v>108.66999800000001</v>
      </c>
      <c r="D209" s="6">
        <v>65.389999000000003</v>
      </c>
      <c r="E209" s="6">
        <v>101.58000199999999</v>
      </c>
      <c r="F209" s="6">
        <v>85.510002</v>
      </c>
      <c r="G209" s="6">
        <v>83.970000999999996</v>
      </c>
      <c r="H209" s="6">
        <v>112.69000200000001</v>
      </c>
      <c r="I209" s="4"/>
    </row>
    <row r="210" spans="1:9" x14ac:dyDescent="0.45">
      <c r="A210" s="5">
        <v>43094</v>
      </c>
      <c r="B210" s="6">
        <v>78.589995999999999</v>
      </c>
      <c r="C210" s="6">
        <v>107.510002</v>
      </c>
      <c r="D210" s="6">
        <v>65.25</v>
      </c>
      <c r="E210" s="6">
        <v>97.440002000000007</v>
      </c>
      <c r="F210" s="6">
        <v>85.540001000000004</v>
      </c>
      <c r="G210" s="6">
        <v>83.639999000000003</v>
      </c>
      <c r="H210" s="6">
        <v>114.019997</v>
      </c>
      <c r="I210" s="4"/>
    </row>
    <row r="211" spans="1:9" x14ac:dyDescent="0.45">
      <c r="A211" s="5">
        <v>43101</v>
      </c>
      <c r="B211" s="6">
        <v>79.430000000000007</v>
      </c>
      <c r="C211" s="6">
        <v>111.620003</v>
      </c>
      <c r="D211" s="6">
        <v>66.550003000000004</v>
      </c>
      <c r="E211" s="6">
        <v>97.449996999999996</v>
      </c>
      <c r="F211" s="6">
        <v>88.190002000000007</v>
      </c>
      <c r="G211" s="6">
        <v>86.75</v>
      </c>
      <c r="H211" s="6">
        <v>118.860001</v>
      </c>
      <c r="I211" s="4"/>
    </row>
    <row r="212" spans="1:9" x14ac:dyDescent="0.45">
      <c r="A212" s="5">
        <v>43108</v>
      </c>
      <c r="B212" s="6">
        <v>78.839995999999999</v>
      </c>
      <c r="C212" s="6">
        <v>112.470001</v>
      </c>
      <c r="D212" s="6">
        <v>76.800003000000004</v>
      </c>
      <c r="E212" s="6">
        <v>101.290001</v>
      </c>
      <c r="F212" s="6">
        <v>89.599997999999999</v>
      </c>
      <c r="G212" s="6">
        <v>87.519997000000004</v>
      </c>
      <c r="H212" s="6">
        <v>120.089996</v>
      </c>
      <c r="I212" s="4"/>
    </row>
    <row r="213" spans="1:9" x14ac:dyDescent="0.45">
      <c r="A213" s="5">
        <v>43115</v>
      </c>
      <c r="B213" s="6">
        <v>79.339995999999999</v>
      </c>
      <c r="C213" s="6">
        <v>110.589996</v>
      </c>
      <c r="D213" s="6">
        <v>78.099997999999999</v>
      </c>
      <c r="E213" s="6">
        <v>107.410004</v>
      </c>
      <c r="F213" s="6">
        <v>90</v>
      </c>
      <c r="G213" s="6">
        <v>87.150002000000001</v>
      </c>
      <c r="H213" s="6">
        <v>122.699997</v>
      </c>
      <c r="I213" s="4"/>
    </row>
    <row r="214" spans="1:9" x14ac:dyDescent="0.45">
      <c r="A214" s="5">
        <v>43122</v>
      </c>
      <c r="B214" s="6">
        <v>79.080001999999993</v>
      </c>
      <c r="C214" s="6">
        <v>112.19000200000001</v>
      </c>
      <c r="D214" s="6">
        <v>76.949996999999996</v>
      </c>
      <c r="E214" s="6">
        <v>110.470001</v>
      </c>
      <c r="F214" s="6">
        <v>94.059997999999993</v>
      </c>
      <c r="G214" s="6">
        <v>89</v>
      </c>
      <c r="H214" s="6">
        <v>126.32</v>
      </c>
      <c r="I214" s="4"/>
    </row>
    <row r="215" spans="1:9" x14ac:dyDescent="0.45">
      <c r="A215" s="5">
        <v>43129</v>
      </c>
      <c r="B215" s="6">
        <v>78.620002999999997</v>
      </c>
      <c r="C215" s="6">
        <v>108.699997</v>
      </c>
      <c r="D215" s="6">
        <v>72.949996999999996</v>
      </c>
      <c r="E215" s="6">
        <v>108.349998</v>
      </c>
      <c r="F215" s="6">
        <v>91.779999000000004</v>
      </c>
      <c r="G215" s="6">
        <v>84.529999000000004</v>
      </c>
      <c r="H215" s="6">
        <v>120.910004</v>
      </c>
      <c r="I215" s="4"/>
    </row>
    <row r="216" spans="1:9" x14ac:dyDescent="0.45">
      <c r="A216" s="5">
        <v>43136</v>
      </c>
      <c r="B216" s="6">
        <v>77.150002000000001</v>
      </c>
      <c r="C216" s="6">
        <v>103.089996</v>
      </c>
      <c r="D216" s="6">
        <v>72.449996999999996</v>
      </c>
      <c r="E216" s="6">
        <v>95.32</v>
      </c>
      <c r="F216" s="6">
        <v>88.18</v>
      </c>
      <c r="G216" s="6">
        <v>75.779999000000004</v>
      </c>
      <c r="H216" s="6">
        <v>116.32</v>
      </c>
      <c r="I216" s="4"/>
    </row>
    <row r="217" spans="1:9" x14ac:dyDescent="0.45">
      <c r="A217" s="5">
        <v>43143</v>
      </c>
      <c r="B217" s="6">
        <v>81.400002000000001</v>
      </c>
      <c r="C217" s="6">
        <v>106.529999</v>
      </c>
      <c r="D217" s="6">
        <v>75.699996999999996</v>
      </c>
      <c r="E217" s="6">
        <v>100.089996</v>
      </c>
      <c r="F217" s="6">
        <v>92</v>
      </c>
      <c r="G217" s="6">
        <v>76.540001000000004</v>
      </c>
      <c r="H217" s="6">
        <v>121.849998</v>
      </c>
      <c r="I217" s="4"/>
    </row>
    <row r="218" spans="1:9" x14ac:dyDescent="0.45">
      <c r="A218" s="5">
        <v>43150</v>
      </c>
      <c r="B218" s="6">
        <v>81.860000999999997</v>
      </c>
      <c r="C218" s="6">
        <v>107.25</v>
      </c>
      <c r="D218" s="6">
        <v>75.410004000000001</v>
      </c>
      <c r="E218" s="6">
        <v>101.480003</v>
      </c>
      <c r="F218" s="6">
        <v>94.059997999999993</v>
      </c>
      <c r="G218" s="6">
        <v>77.529999000000004</v>
      </c>
      <c r="H218" s="6">
        <v>122.93</v>
      </c>
      <c r="I218" s="4"/>
    </row>
    <row r="219" spans="1:9" x14ac:dyDescent="0.45">
      <c r="A219" s="5">
        <v>43157</v>
      </c>
      <c r="B219" s="6">
        <v>82.07</v>
      </c>
      <c r="C219" s="6">
        <v>102.989998</v>
      </c>
      <c r="D219" s="6">
        <v>75.150002000000001</v>
      </c>
      <c r="E219" s="6">
        <v>96.050003000000004</v>
      </c>
      <c r="F219" s="6">
        <v>93.050003000000004</v>
      </c>
      <c r="G219" s="6">
        <v>75.550003000000004</v>
      </c>
      <c r="H219" s="6">
        <v>120.769997</v>
      </c>
      <c r="I219" s="4"/>
    </row>
    <row r="220" spans="1:9" x14ac:dyDescent="0.45">
      <c r="A220" s="5">
        <v>43164</v>
      </c>
      <c r="B220" s="6">
        <v>81</v>
      </c>
      <c r="C220" s="6">
        <v>104.730003</v>
      </c>
      <c r="D220" s="6">
        <v>70.489998</v>
      </c>
      <c r="E220" s="6">
        <v>90.599997999999999</v>
      </c>
      <c r="F220" s="6">
        <v>96.540001000000004</v>
      </c>
      <c r="G220" s="6">
        <v>74.559997999999993</v>
      </c>
      <c r="H220" s="6">
        <v>124.510002</v>
      </c>
      <c r="I220" s="4"/>
    </row>
    <row r="221" spans="1:9" x14ac:dyDescent="0.45">
      <c r="A221" s="5">
        <v>43171</v>
      </c>
      <c r="B221" s="6">
        <v>80.760002</v>
      </c>
      <c r="C221" s="6">
        <v>102.870003</v>
      </c>
      <c r="D221" s="6">
        <v>70.989998</v>
      </c>
      <c r="E221" s="6">
        <v>88.800003000000004</v>
      </c>
      <c r="F221" s="6">
        <v>94.599997999999999</v>
      </c>
      <c r="G221" s="6">
        <v>75.120002999999997</v>
      </c>
      <c r="H221" s="6">
        <v>124.529999</v>
      </c>
      <c r="I221" s="4"/>
    </row>
    <row r="222" spans="1:9" x14ac:dyDescent="0.45">
      <c r="A222" s="5">
        <v>43178</v>
      </c>
      <c r="B222" s="6">
        <v>79.510002</v>
      </c>
      <c r="C222" s="6">
        <v>98.540001000000004</v>
      </c>
      <c r="D222" s="6">
        <v>67.879997000000003</v>
      </c>
      <c r="E222" s="6">
        <v>87.650002000000001</v>
      </c>
      <c r="F222" s="6">
        <v>87.18</v>
      </c>
      <c r="G222" s="6">
        <v>72.889999000000003</v>
      </c>
      <c r="H222" s="6">
        <v>117</v>
      </c>
      <c r="I222" s="4"/>
    </row>
    <row r="223" spans="1:9" x14ac:dyDescent="0.45">
      <c r="A223" s="5">
        <v>43185</v>
      </c>
      <c r="B223" s="6">
        <v>89.120002999999997</v>
      </c>
      <c r="C223" s="6">
        <v>100.44000200000001</v>
      </c>
      <c r="D223" s="6">
        <v>69.430000000000007</v>
      </c>
      <c r="E223" s="6">
        <v>89.019997000000004</v>
      </c>
      <c r="F223" s="6">
        <v>91.269997000000004</v>
      </c>
      <c r="G223" s="6">
        <v>74.610000999999997</v>
      </c>
      <c r="H223" s="6">
        <v>119.620003</v>
      </c>
      <c r="I223" s="4"/>
    </row>
    <row r="224" spans="1:9" x14ac:dyDescent="0.45">
      <c r="A224" s="5">
        <v>43192</v>
      </c>
      <c r="B224" s="6">
        <v>89.610000999999997</v>
      </c>
      <c r="C224" s="6">
        <v>100.349998</v>
      </c>
      <c r="D224" s="6">
        <v>72.290001000000004</v>
      </c>
      <c r="E224" s="6">
        <v>89.010002</v>
      </c>
      <c r="F224" s="6">
        <v>90.230002999999996</v>
      </c>
      <c r="G224" s="6">
        <v>74.870002999999997</v>
      </c>
      <c r="H224" s="6">
        <v>117.699997</v>
      </c>
      <c r="I224" s="4"/>
    </row>
    <row r="225" spans="1:9" x14ac:dyDescent="0.45">
      <c r="A225" s="5">
        <v>43199</v>
      </c>
      <c r="B225" s="6">
        <v>91.709998999999996</v>
      </c>
      <c r="C225" s="6">
        <v>100.349998</v>
      </c>
      <c r="D225" s="6">
        <v>71.519997000000004</v>
      </c>
      <c r="E225" s="6">
        <v>89.489998</v>
      </c>
      <c r="F225" s="6">
        <v>93.080001999999993</v>
      </c>
      <c r="G225" s="6">
        <v>77.839995999999999</v>
      </c>
      <c r="H225" s="6">
        <v>120.75</v>
      </c>
      <c r="I225" s="4"/>
    </row>
    <row r="226" spans="1:9" x14ac:dyDescent="0.45">
      <c r="A226" s="5">
        <v>43206</v>
      </c>
      <c r="B226" s="6">
        <v>96.309997999999993</v>
      </c>
      <c r="C226" s="6">
        <v>100.239998</v>
      </c>
      <c r="D226" s="6">
        <v>70.319999999999993</v>
      </c>
      <c r="E226" s="6">
        <v>87.389999000000003</v>
      </c>
      <c r="F226" s="6">
        <v>95</v>
      </c>
      <c r="G226" s="6">
        <v>79</v>
      </c>
      <c r="H226" s="6">
        <v>124.199997</v>
      </c>
      <c r="I226" s="4"/>
    </row>
    <row r="227" spans="1:9" x14ac:dyDescent="0.45">
      <c r="A227" s="5">
        <v>43213</v>
      </c>
      <c r="B227" s="6">
        <v>99.169998000000007</v>
      </c>
      <c r="C227" s="6">
        <v>99.230002999999996</v>
      </c>
      <c r="D227" s="6">
        <v>72.849997999999999</v>
      </c>
      <c r="E227" s="6">
        <v>89.779999000000004</v>
      </c>
      <c r="F227" s="6">
        <v>95.82</v>
      </c>
      <c r="G227" s="6">
        <v>77.790001000000004</v>
      </c>
      <c r="H227" s="6">
        <v>126.010002</v>
      </c>
      <c r="I227" s="4"/>
    </row>
    <row r="228" spans="1:9" x14ac:dyDescent="0.45">
      <c r="A228" s="5">
        <v>43220</v>
      </c>
      <c r="B228" s="6">
        <v>95.489998</v>
      </c>
      <c r="C228" s="6">
        <v>101.150002</v>
      </c>
      <c r="D228" s="6">
        <v>71.050003000000004</v>
      </c>
      <c r="E228" s="6">
        <v>86.730002999999996</v>
      </c>
      <c r="F228" s="6">
        <v>95.160004000000001</v>
      </c>
      <c r="G228" s="6">
        <v>76.900002000000001</v>
      </c>
      <c r="H228" s="6">
        <v>128.16000399999999</v>
      </c>
      <c r="I228" s="4"/>
    </row>
    <row r="229" spans="1:9" x14ac:dyDescent="0.45">
      <c r="A229" s="5">
        <v>43227</v>
      </c>
      <c r="B229" s="6">
        <v>98.540001000000004</v>
      </c>
      <c r="C229" s="6">
        <v>102.07</v>
      </c>
      <c r="D229" s="6">
        <v>70.25</v>
      </c>
      <c r="E229" s="6">
        <v>88.529999000000004</v>
      </c>
      <c r="F229" s="6">
        <v>97.699996999999996</v>
      </c>
      <c r="G229" s="6">
        <v>81.279999000000004</v>
      </c>
      <c r="H229" s="6">
        <v>131.820007</v>
      </c>
      <c r="I229" s="4"/>
    </row>
    <row r="230" spans="1:9" x14ac:dyDescent="0.45">
      <c r="A230" s="5">
        <v>43234</v>
      </c>
      <c r="B230" s="6">
        <v>102.82</v>
      </c>
      <c r="C230" s="6">
        <v>103.93</v>
      </c>
      <c r="D230" s="6">
        <v>75.940002000000007</v>
      </c>
      <c r="E230" s="6">
        <v>89.199996999999996</v>
      </c>
      <c r="F230" s="6">
        <v>96.360000999999997</v>
      </c>
      <c r="G230" s="6">
        <v>81.300003000000004</v>
      </c>
      <c r="H230" s="6">
        <v>129.929993</v>
      </c>
      <c r="I230" s="4"/>
    </row>
    <row r="231" spans="1:9" x14ac:dyDescent="0.45">
      <c r="A231" s="5">
        <v>43241</v>
      </c>
      <c r="B231" s="6">
        <v>106.18</v>
      </c>
      <c r="C231" s="6">
        <v>102.199997</v>
      </c>
      <c r="D231" s="6">
        <v>71.209998999999996</v>
      </c>
      <c r="E231" s="6">
        <v>92.199996999999996</v>
      </c>
      <c r="F231" s="6">
        <v>98.360000999999997</v>
      </c>
      <c r="G231" s="6">
        <v>78.709998999999996</v>
      </c>
      <c r="H231" s="6">
        <v>131.279999</v>
      </c>
      <c r="I231" s="4"/>
    </row>
    <row r="232" spans="1:9" x14ac:dyDescent="0.45">
      <c r="A232" s="5">
        <v>43248</v>
      </c>
      <c r="B232" s="6">
        <v>122.19000200000001</v>
      </c>
      <c r="C232" s="6">
        <v>99.360000999999997</v>
      </c>
      <c r="D232" s="6">
        <v>72.800003000000004</v>
      </c>
      <c r="E232" s="6">
        <v>93.660004000000001</v>
      </c>
      <c r="F232" s="6">
        <v>100.790001</v>
      </c>
      <c r="G232" s="6">
        <v>81.830001999999993</v>
      </c>
      <c r="H232" s="6">
        <v>130.85000600000001</v>
      </c>
      <c r="I232" s="4"/>
    </row>
    <row r="233" spans="1:9" x14ac:dyDescent="0.45">
      <c r="A233" s="5">
        <v>43255</v>
      </c>
      <c r="B233" s="6">
        <v>122.019997</v>
      </c>
      <c r="C233" s="6">
        <v>103.980003</v>
      </c>
      <c r="D233" s="6">
        <v>78.019997000000004</v>
      </c>
      <c r="E233" s="6">
        <v>100.040001</v>
      </c>
      <c r="F233" s="6">
        <v>101.629997</v>
      </c>
      <c r="G233" s="6">
        <v>83.599997999999999</v>
      </c>
      <c r="H233" s="6">
        <v>134.740005</v>
      </c>
      <c r="I233" s="4"/>
    </row>
    <row r="234" spans="1:9" x14ac:dyDescent="0.45">
      <c r="A234" s="5">
        <v>43262</v>
      </c>
      <c r="B234" s="6">
        <v>128.36999499999999</v>
      </c>
      <c r="C234" s="6">
        <v>108.849998</v>
      </c>
      <c r="D234" s="6">
        <v>77.25</v>
      </c>
      <c r="E234" s="6">
        <v>109.050003</v>
      </c>
      <c r="F234" s="6">
        <v>100.129997</v>
      </c>
      <c r="G234" s="6">
        <v>80.660004000000001</v>
      </c>
      <c r="H234" s="6">
        <v>135.10000600000001</v>
      </c>
      <c r="I234" s="4"/>
    </row>
    <row r="235" spans="1:9" x14ac:dyDescent="0.45">
      <c r="A235" s="5">
        <v>43269</v>
      </c>
      <c r="B235" s="6">
        <v>124.18</v>
      </c>
      <c r="C235" s="6">
        <v>106.339996</v>
      </c>
      <c r="D235" s="6">
        <v>76.040001000000004</v>
      </c>
      <c r="E235" s="6">
        <v>112.25</v>
      </c>
      <c r="F235" s="6">
        <v>100.410004</v>
      </c>
      <c r="G235" s="6">
        <v>81.379997000000003</v>
      </c>
      <c r="H235" s="6">
        <v>135.33000200000001</v>
      </c>
      <c r="I235" s="4"/>
    </row>
    <row r="236" spans="1:9" x14ac:dyDescent="0.45">
      <c r="A236" s="5">
        <v>43276</v>
      </c>
      <c r="B236" s="6">
        <v>124.849998</v>
      </c>
      <c r="C236" s="6">
        <v>104.80999799999999</v>
      </c>
      <c r="D236" s="6">
        <v>76.120002999999997</v>
      </c>
      <c r="E236" s="6">
        <v>106.900002</v>
      </c>
      <c r="F236" s="6">
        <v>98.610000999999997</v>
      </c>
      <c r="G236" s="6">
        <v>82.730002999999996</v>
      </c>
      <c r="H236" s="6">
        <v>132.449997</v>
      </c>
      <c r="I236" s="4"/>
    </row>
    <row r="237" spans="1:9" x14ac:dyDescent="0.45">
      <c r="A237" s="5">
        <v>43283</v>
      </c>
      <c r="B237" s="6">
        <v>128.53999300000001</v>
      </c>
      <c r="C237" s="6">
        <v>104.779999</v>
      </c>
      <c r="D237" s="6">
        <v>76.790001000000004</v>
      </c>
      <c r="E237" s="6">
        <v>107.040001</v>
      </c>
      <c r="F237" s="6">
        <v>101.160004</v>
      </c>
      <c r="G237" s="6">
        <v>82.330001999999993</v>
      </c>
      <c r="H237" s="6">
        <v>134.08999600000001</v>
      </c>
      <c r="I237" s="4"/>
    </row>
    <row r="238" spans="1:9" x14ac:dyDescent="0.45">
      <c r="A238" s="5">
        <v>43290</v>
      </c>
      <c r="B238" s="6">
        <v>125.449997</v>
      </c>
      <c r="C238" s="6">
        <v>110</v>
      </c>
      <c r="D238" s="6">
        <v>77.720000999999996</v>
      </c>
      <c r="E238" s="6">
        <v>105.279999</v>
      </c>
      <c r="F238" s="6">
        <v>105.43</v>
      </c>
      <c r="G238" s="6">
        <v>83.309997999999993</v>
      </c>
      <c r="H238" s="6">
        <v>139.41999799999999</v>
      </c>
      <c r="I238" s="4"/>
    </row>
    <row r="239" spans="1:9" x14ac:dyDescent="0.45">
      <c r="A239" s="5">
        <v>43297</v>
      </c>
      <c r="B239" s="6">
        <v>126.449997</v>
      </c>
      <c r="C239" s="6">
        <v>111.480003</v>
      </c>
      <c r="D239" s="6">
        <v>77.760002</v>
      </c>
      <c r="E239" s="6">
        <v>109.07</v>
      </c>
      <c r="F239" s="6">
        <v>106.269997</v>
      </c>
      <c r="G239" s="6">
        <v>81.400002000000001</v>
      </c>
      <c r="H239" s="6">
        <v>140.990005</v>
      </c>
      <c r="I239" s="4"/>
    </row>
    <row r="240" spans="1:9" x14ac:dyDescent="0.45">
      <c r="A240" s="5">
        <v>43304</v>
      </c>
      <c r="B240" s="6">
        <v>120</v>
      </c>
      <c r="C240" s="6">
        <v>112.620003</v>
      </c>
      <c r="D240" s="6">
        <v>80.129997000000003</v>
      </c>
      <c r="E240" s="6">
        <v>104.19000200000001</v>
      </c>
      <c r="F240" s="6">
        <v>107.68</v>
      </c>
      <c r="G240" s="6">
        <v>81.919998000000007</v>
      </c>
      <c r="H240" s="6">
        <v>140.71000699999999</v>
      </c>
      <c r="I240" s="4"/>
    </row>
    <row r="241" spans="1:9" x14ac:dyDescent="0.45">
      <c r="A241" s="5">
        <v>43311</v>
      </c>
      <c r="B241" s="6">
        <v>126.08000199999999</v>
      </c>
      <c r="C241" s="6">
        <v>114.089996</v>
      </c>
      <c r="D241" s="6">
        <v>81.449996999999996</v>
      </c>
      <c r="E241" s="6">
        <v>107.300003</v>
      </c>
      <c r="F241" s="6">
        <v>108.040001</v>
      </c>
      <c r="G241" s="6">
        <v>80.199996999999996</v>
      </c>
      <c r="H241" s="6">
        <v>139.820007</v>
      </c>
      <c r="I241" s="4"/>
    </row>
    <row r="242" spans="1:9" x14ac:dyDescent="0.45">
      <c r="A242" s="5">
        <v>43318</v>
      </c>
      <c r="B242" s="6">
        <v>130.520004</v>
      </c>
      <c r="C242" s="6">
        <v>112.68</v>
      </c>
      <c r="D242" s="6">
        <v>82.709998999999996</v>
      </c>
      <c r="E242" s="6">
        <v>111.099998</v>
      </c>
      <c r="F242" s="6">
        <v>109</v>
      </c>
      <c r="G242" s="6">
        <v>79.419998000000007</v>
      </c>
      <c r="H242" s="6">
        <v>139.729996</v>
      </c>
      <c r="I242" s="4"/>
    </row>
    <row r="243" spans="1:9" x14ac:dyDescent="0.45">
      <c r="A243" s="5">
        <v>43325</v>
      </c>
      <c r="B243" s="6">
        <v>130.19000199999999</v>
      </c>
      <c r="C243" s="6">
        <v>112.480003</v>
      </c>
      <c r="D243" s="6">
        <v>83.040001000000004</v>
      </c>
      <c r="E243" s="6">
        <v>116.93</v>
      </c>
      <c r="F243" s="6">
        <v>107.58000199999999</v>
      </c>
      <c r="G243" s="6">
        <v>78.260002</v>
      </c>
      <c r="H243" s="6">
        <v>141.33000200000001</v>
      </c>
      <c r="I243" s="4"/>
    </row>
    <row r="244" spans="1:9" x14ac:dyDescent="0.45">
      <c r="A244" s="5">
        <v>43332</v>
      </c>
      <c r="B244" s="6">
        <v>138.759995</v>
      </c>
      <c r="C244" s="6">
        <v>111.93</v>
      </c>
      <c r="D244" s="6">
        <v>87.309997999999993</v>
      </c>
      <c r="E244" s="6">
        <v>118.489998</v>
      </c>
      <c r="F244" s="6">
        <v>108.400002</v>
      </c>
      <c r="G244" s="6">
        <v>79.620002999999997</v>
      </c>
      <c r="H244" s="6">
        <v>144.199997</v>
      </c>
      <c r="I244" s="4"/>
    </row>
    <row r="245" spans="1:9" x14ac:dyDescent="0.45">
      <c r="A245" s="5">
        <v>43339</v>
      </c>
      <c r="B245" s="6">
        <v>154.929993</v>
      </c>
      <c r="C245" s="6">
        <v>112.019997</v>
      </c>
      <c r="D245" s="6">
        <v>87.5</v>
      </c>
      <c r="E245" s="6">
        <v>117.839996</v>
      </c>
      <c r="F245" s="6">
        <v>112.33000199999999</v>
      </c>
      <c r="G245" s="6">
        <v>80.169998000000007</v>
      </c>
      <c r="H245" s="6">
        <v>146.88999899999999</v>
      </c>
      <c r="I245" s="4"/>
    </row>
    <row r="246" spans="1:9" x14ac:dyDescent="0.45">
      <c r="A246" s="5">
        <v>43346</v>
      </c>
      <c r="B246" s="6">
        <v>150.820007</v>
      </c>
      <c r="C246" s="6">
        <v>110.970001</v>
      </c>
      <c r="D246" s="6">
        <v>88.739998</v>
      </c>
      <c r="E246" s="6">
        <v>116.18</v>
      </c>
      <c r="F246" s="6">
        <v>108.209999</v>
      </c>
      <c r="G246" s="6">
        <v>81.830001999999993</v>
      </c>
      <c r="H246" s="6">
        <v>143.199997</v>
      </c>
      <c r="I246" s="4"/>
    </row>
    <row r="247" spans="1:9" x14ac:dyDescent="0.45">
      <c r="A247" s="5">
        <v>43353</v>
      </c>
      <c r="B247" s="6">
        <v>153.71000699999999</v>
      </c>
      <c r="C247" s="6">
        <v>109.260002</v>
      </c>
      <c r="D247" s="6">
        <v>87.940002000000007</v>
      </c>
      <c r="E247" s="6">
        <v>116.91999800000001</v>
      </c>
      <c r="F247" s="6">
        <v>113.370003</v>
      </c>
      <c r="G247" s="6">
        <v>82.919998000000007</v>
      </c>
      <c r="H247" s="6">
        <v>147.83999600000001</v>
      </c>
      <c r="I247" s="4"/>
    </row>
    <row r="248" spans="1:9" x14ac:dyDescent="0.45">
      <c r="A248" s="5">
        <v>43360</v>
      </c>
      <c r="B248" s="6">
        <v>156.990005</v>
      </c>
      <c r="C248" s="6">
        <v>110.400002</v>
      </c>
      <c r="D248" s="6">
        <v>87.309997999999993</v>
      </c>
      <c r="E248" s="6">
        <v>113.44000200000001</v>
      </c>
      <c r="F248" s="6">
        <v>114.260002</v>
      </c>
      <c r="G248" s="6">
        <v>85.169998000000007</v>
      </c>
      <c r="H248" s="6">
        <v>150.050003</v>
      </c>
      <c r="I248" s="4"/>
    </row>
    <row r="249" spans="1:9" x14ac:dyDescent="0.45">
      <c r="A249" s="5">
        <v>43367</v>
      </c>
      <c r="B249" s="6">
        <v>162.490005</v>
      </c>
      <c r="C249" s="6">
        <v>116.94000200000001</v>
      </c>
      <c r="D249" s="6">
        <v>88.209998999999996</v>
      </c>
      <c r="E249" s="6">
        <v>116.620003</v>
      </c>
      <c r="F249" s="6">
        <v>114.370003</v>
      </c>
      <c r="G249" s="6">
        <v>85.019997000000004</v>
      </c>
      <c r="H249" s="6">
        <v>150.08999600000001</v>
      </c>
      <c r="I249" s="4"/>
    </row>
    <row r="250" spans="1:9" x14ac:dyDescent="0.45">
      <c r="A250" s="5">
        <v>43374</v>
      </c>
      <c r="B250" s="6">
        <v>153.83999600000001</v>
      </c>
      <c r="C250" s="6">
        <v>114.779999</v>
      </c>
      <c r="D250" s="6">
        <v>84.519997000000004</v>
      </c>
      <c r="E250" s="6">
        <v>106.260002</v>
      </c>
      <c r="F250" s="6">
        <v>112.129997</v>
      </c>
      <c r="G250" s="6">
        <v>85.339995999999999</v>
      </c>
      <c r="H250" s="6">
        <v>145.36000100000001</v>
      </c>
      <c r="I250" s="4"/>
    </row>
    <row r="251" spans="1:9" x14ac:dyDescent="0.45">
      <c r="A251" s="5">
        <v>43381</v>
      </c>
      <c r="B251" s="6">
        <v>143.71000699999999</v>
      </c>
      <c r="C251" s="6">
        <v>112.610001</v>
      </c>
      <c r="D251" s="6">
        <v>84.610000999999997</v>
      </c>
      <c r="E251" s="6">
        <v>99.910004000000001</v>
      </c>
      <c r="F251" s="6">
        <v>109.57</v>
      </c>
      <c r="G251" s="6">
        <v>81.379997000000003</v>
      </c>
      <c r="H251" s="6">
        <v>140.05999800000001</v>
      </c>
      <c r="I251" s="4"/>
    </row>
    <row r="252" spans="1:9" x14ac:dyDescent="0.45">
      <c r="A252" s="5">
        <v>43388</v>
      </c>
      <c r="B252" s="6">
        <v>136.770004</v>
      </c>
      <c r="C252" s="6">
        <v>118.900002</v>
      </c>
      <c r="D252" s="6">
        <v>82.019997000000004</v>
      </c>
      <c r="E252" s="6">
        <v>98.160004000000001</v>
      </c>
      <c r="F252" s="6">
        <v>108.660004</v>
      </c>
      <c r="G252" s="6">
        <v>81.970000999999996</v>
      </c>
      <c r="H252" s="6">
        <v>140.08000200000001</v>
      </c>
      <c r="I252" s="4"/>
    </row>
    <row r="253" spans="1:9" x14ac:dyDescent="0.45">
      <c r="A253" s="5">
        <v>43395</v>
      </c>
      <c r="B253" s="6">
        <v>134.820007</v>
      </c>
      <c r="C253" s="6">
        <v>113.19000200000001</v>
      </c>
      <c r="D253" s="6">
        <v>81.940002000000007</v>
      </c>
      <c r="E253" s="6">
        <v>98.870002999999997</v>
      </c>
      <c r="F253" s="6">
        <v>106.959999</v>
      </c>
      <c r="G253" s="6">
        <v>77.529999000000004</v>
      </c>
      <c r="H253" s="6">
        <v>137.740005</v>
      </c>
      <c r="I253" s="4"/>
    </row>
    <row r="254" spans="1:9" x14ac:dyDescent="0.45">
      <c r="A254" s="5">
        <v>43402</v>
      </c>
      <c r="B254" s="6">
        <v>142.020004</v>
      </c>
      <c r="C254" s="6">
        <v>115.18</v>
      </c>
      <c r="D254" s="6">
        <v>84.410004000000001</v>
      </c>
      <c r="E254" s="6">
        <v>95</v>
      </c>
      <c r="F254" s="6">
        <v>106.160004</v>
      </c>
      <c r="G254" s="6">
        <v>81.949996999999996</v>
      </c>
      <c r="H254" s="6">
        <v>139.779999</v>
      </c>
      <c r="I254" s="4"/>
    </row>
    <row r="255" spans="1:9" x14ac:dyDescent="0.45">
      <c r="A255" s="5">
        <v>43409</v>
      </c>
      <c r="B255" s="6">
        <v>137.55999800000001</v>
      </c>
      <c r="C255" s="6">
        <v>118</v>
      </c>
      <c r="D255" s="6">
        <v>86.940002000000007</v>
      </c>
      <c r="E255" s="6">
        <v>101.41999800000001</v>
      </c>
      <c r="F255" s="6">
        <v>109.57</v>
      </c>
      <c r="G255" s="6">
        <v>80.870002999999997</v>
      </c>
      <c r="H255" s="6">
        <v>143.929993</v>
      </c>
      <c r="I255" s="4"/>
    </row>
    <row r="256" spans="1:9" x14ac:dyDescent="0.45">
      <c r="A256" s="5">
        <v>43416</v>
      </c>
      <c r="B256" s="6">
        <v>134.529999</v>
      </c>
      <c r="C256" s="6">
        <v>116.19000200000001</v>
      </c>
      <c r="D256" s="6">
        <v>79.680000000000007</v>
      </c>
      <c r="E256" s="6">
        <v>90.68</v>
      </c>
      <c r="F256" s="6">
        <v>108.290001</v>
      </c>
      <c r="G256" s="6">
        <v>78.959998999999996</v>
      </c>
      <c r="H256" s="6">
        <v>140.179993</v>
      </c>
      <c r="I256" s="4"/>
    </row>
    <row r="257" spans="1:9" x14ac:dyDescent="0.45">
      <c r="A257" s="5">
        <v>43423</v>
      </c>
      <c r="B257" s="6">
        <v>120.860001</v>
      </c>
      <c r="C257" s="6">
        <v>112.08000199999999</v>
      </c>
      <c r="D257" s="6">
        <v>67.349997999999999</v>
      </c>
      <c r="E257" s="6">
        <v>93.029999000000004</v>
      </c>
      <c r="F257" s="6">
        <v>103.07</v>
      </c>
      <c r="G257" s="6">
        <v>75.489998</v>
      </c>
      <c r="H257" s="6">
        <v>132.86999499999999</v>
      </c>
      <c r="I257" s="4"/>
    </row>
    <row r="258" spans="1:9" x14ac:dyDescent="0.45">
      <c r="A258" s="5">
        <v>43430</v>
      </c>
      <c r="B258" s="6">
        <v>132.550003</v>
      </c>
      <c r="C258" s="6">
        <v>115.489998</v>
      </c>
      <c r="D258" s="6">
        <v>70.959998999999996</v>
      </c>
      <c r="E258" s="6">
        <v>87.269997000000004</v>
      </c>
      <c r="F258" s="6">
        <v>110.889999</v>
      </c>
      <c r="G258" s="6">
        <v>79.5</v>
      </c>
      <c r="H258" s="6">
        <v>141.71000699999999</v>
      </c>
      <c r="I258" s="4"/>
    </row>
    <row r="259" spans="1:9" x14ac:dyDescent="0.45">
      <c r="A259" s="5">
        <v>43437</v>
      </c>
      <c r="B259" s="6">
        <v>113.870003</v>
      </c>
      <c r="C259" s="6">
        <v>111.980003</v>
      </c>
      <c r="D259" s="6">
        <v>67.809997999999993</v>
      </c>
      <c r="E259" s="6">
        <v>83.68</v>
      </c>
      <c r="F259" s="6">
        <v>104.82</v>
      </c>
      <c r="G259" s="6">
        <v>77.639999000000003</v>
      </c>
      <c r="H259" s="6">
        <v>137.11000100000001</v>
      </c>
      <c r="I259" s="4"/>
    </row>
    <row r="260" spans="1:9" x14ac:dyDescent="0.45">
      <c r="A260" s="5">
        <v>43444</v>
      </c>
      <c r="B260" s="6">
        <v>119.120003</v>
      </c>
      <c r="C260" s="6">
        <v>112.199997</v>
      </c>
      <c r="D260" s="6">
        <v>67.169998000000007</v>
      </c>
      <c r="E260" s="6">
        <v>78.889999000000003</v>
      </c>
      <c r="F260" s="6">
        <v>106.029999</v>
      </c>
      <c r="G260" s="6">
        <v>75.580001999999993</v>
      </c>
      <c r="H260" s="6">
        <v>135.08999600000001</v>
      </c>
      <c r="I260" s="4"/>
    </row>
    <row r="261" spans="1:9" x14ac:dyDescent="0.45">
      <c r="A261" s="5">
        <v>43451</v>
      </c>
      <c r="B261" s="6">
        <v>113.739998</v>
      </c>
      <c r="C261" s="6">
        <v>104.220001</v>
      </c>
      <c r="D261" s="6">
        <v>61.130001</v>
      </c>
      <c r="E261" s="6">
        <v>75.459998999999996</v>
      </c>
      <c r="F261" s="6">
        <v>98.230002999999996</v>
      </c>
      <c r="G261" s="6">
        <v>68.120002999999997</v>
      </c>
      <c r="H261" s="6">
        <v>124.260002</v>
      </c>
      <c r="I261" s="4"/>
    </row>
    <row r="262" spans="1:9" x14ac:dyDescent="0.45">
      <c r="A262" s="5">
        <v>43458</v>
      </c>
      <c r="B262" s="6">
        <v>121.400002</v>
      </c>
      <c r="C262" s="6">
        <v>107.300003</v>
      </c>
      <c r="D262" s="6">
        <v>64.959998999999996</v>
      </c>
      <c r="E262" s="6">
        <v>71.540001000000004</v>
      </c>
      <c r="F262" s="6">
        <v>100.389999</v>
      </c>
      <c r="G262" s="6">
        <v>68.169998000000007</v>
      </c>
      <c r="H262" s="6">
        <v>130.94000199999999</v>
      </c>
      <c r="I262" s="4"/>
    </row>
    <row r="263" spans="1:9" x14ac:dyDescent="0.45">
      <c r="A263" s="5">
        <v>43465</v>
      </c>
      <c r="B263" s="6">
        <v>121.610001</v>
      </c>
      <c r="C263" s="6">
        <v>109.650002</v>
      </c>
      <c r="D263" s="6">
        <v>66.089995999999999</v>
      </c>
      <c r="E263" s="6">
        <v>71.769997000000004</v>
      </c>
      <c r="F263" s="6">
        <v>101.57</v>
      </c>
      <c r="G263" s="6">
        <v>68.190002000000007</v>
      </c>
      <c r="H263" s="6">
        <v>131.94000199999999</v>
      </c>
      <c r="I263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2019-03-28T06:14:32Z</dcterms:modified>
</cp:coreProperties>
</file>