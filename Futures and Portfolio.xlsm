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wnloads\"/>
    </mc:Choice>
  </mc:AlternateContent>
  <xr:revisionPtr revIDLastSave="0" documentId="13_ncr:1_{DABEBDD1-A63D-4BB2-AF16-8AA71DA2046B}" xr6:coauthVersionLast="41" xr6:coauthVersionMax="41" xr10:uidLastSave="{00000000-0000-0000-0000-000000000000}"/>
  <bookViews>
    <workbookView xWindow="-98" yWindow="-98" windowWidth="22695" windowHeight="15196" xr2:uid="{C3FE3146-7FD9-4C83-A548-7D51279DB8F7}"/>
  </bookViews>
  <sheets>
    <sheet name="Part 1" sheetId="1" r:id="rId1"/>
    <sheet name="Part 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9" i="1" l="1"/>
  <c r="AB9" i="1"/>
  <c r="AC9" i="1"/>
  <c r="AA3" i="1"/>
  <c r="AB3" i="1"/>
  <c r="AC3" i="1"/>
  <c r="AA4" i="1"/>
  <c r="AB4" i="1"/>
  <c r="AC4" i="1"/>
  <c r="AA5" i="1"/>
  <c r="AB5" i="1"/>
  <c r="AC5" i="1"/>
  <c r="AA6" i="1"/>
  <c r="AB6" i="1"/>
  <c r="AC6" i="1"/>
  <c r="AA7" i="1"/>
  <c r="AB7" i="1"/>
  <c r="AC7" i="1"/>
  <c r="AA8" i="1"/>
  <c r="AB8" i="1"/>
  <c r="AC8" i="1"/>
  <c r="AC2" i="1"/>
  <c r="AB2" i="1"/>
  <c r="AA2" i="1"/>
  <c r="Z3" i="1"/>
  <c r="Z4" i="1"/>
  <c r="Z5" i="1"/>
  <c r="Z6" i="1"/>
  <c r="Z7" i="1"/>
  <c r="Z8" i="1"/>
  <c r="Z9" i="1"/>
  <c r="Z2" i="1"/>
  <c r="AM2" i="2" l="1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AL3" i="2"/>
  <c r="AL4" i="2"/>
  <c r="AL5" i="2"/>
  <c r="AL6" i="2"/>
  <c r="AL7" i="2"/>
  <c r="AL8" i="2"/>
  <c r="AL2" i="2"/>
  <c r="AM10" i="2"/>
  <c r="AQ10" i="2"/>
  <c r="AU10" i="2"/>
  <c r="AY10" i="2"/>
  <c r="AN10" i="2"/>
  <c r="AR10" i="2"/>
  <c r="AV10" i="2"/>
  <c r="AZ10" i="2"/>
  <c r="BD10" i="2"/>
  <c r="BH10" i="2"/>
  <c r="BL10" i="2"/>
  <c r="AO10" i="2"/>
  <c r="AS10" i="2"/>
  <c r="AW10" i="2"/>
  <c r="BA10" i="2"/>
  <c r="BE10" i="2"/>
  <c r="BI10" i="2"/>
  <c r="BM10" i="2"/>
  <c r="AP10" i="2"/>
  <c r="AT10" i="2"/>
  <c r="AX10" i="2"/>
  <c r="BB10" i="2"/>
  <c r="BF10" i="2"/>
  <c r="BJ10" i="2"/>
  <c r="BN10" i="2"/>
  <c r="BC10" i="2"/>
  <c r="BG10" i="2"/>
  <c r="BK10" i="2"/>
  <c r="BO10" i="2"/>
  <c r="AM9" i="2"/>
  <c r="AQ9" i="2"/>
  <c r="AU9" i="2"/>
  <c r="AY9" i="2"/>
  <c r="BC9" i="2"/>
  <c r="BG9" i="2"/>
  <c r="BK9" i="2"/>
  <c r="BO9" i="2"/>
  <c r="AN9" i="2"/>
  <c r="AR9" i="2"/>
  <c r="AV9" i="2"/>
  <c r="AZ9" i="2"/>
  <c r="BD9" i="2"/>
  <c r="BH9" i="2"/>
  <c r="BL9" i="2"/>
  <c r="AO9" i="2"/>
  <c r="AS9" i="2"/>
  <c r="AW9" i="2"/>
  <c r="BA9" i="2"/>
  <c r="BE9" i="2"/>
  <c r="BI9" i="2"/>
  <c r="BM9" i="2"/>
  <c r="AP9" i="2"/>
  <c r="AX9" i="2"/>
  <c r="BB9" i="2"/>
  <c r="BF9" i="2"/>
  <c r="BJ9" i="2"/>
  <c r="BN9" i="2"/>
  <c r="AT9" i="2"/>
  <c r="AH9" i="2"/>
  <c r="AL10" i="2"/>
  <c r="AL9" i="2"/>
  <c r="Y9" i="1"/>
  <c r="D3" i="2" l="1"/>
  <c r="W3" i="1"/>
  <c r="V2" i="1"/>
  <c r="U2" i="1"/>
  <c r="Y3" i="1"/>
  <c r="Y7" i="1"/>
  <c r="Y4" i="1"/>
  <c r="Y8" i="1"/>
  <c r="Y5" i="1"/>
  <c r="Y6" i="1"/>
  <c r="Y2" i="1"/>
  <c r="X3" i="1"/>
  <c r="X7" i="1"/>
  <c r="X6" i="1"/>
  <c r="X4" i="1"/>
  <c r="X8" i="1"/>
  <c r="X5" i="1"/>
  <c r="X9" i="1"/>
  <c r="X2" i="1"/>
  <c r="W7" i="1"/>
  <c r="W4" i="1"/>
  <c r="W8" i="1"/>
  <c r="W5" i="1"/>
  <c r="W9" i="1"/>
  <c r="W6" i="1"/>
  <c r="W2" i="1"/>
  <c r="V3" i="1"/>
  <c r="V7" i="1"/>
  <c r="V4" i="1"/>
  <c r="V8" i="1"/>
  <c r="V5" i="1"/>
  <c r="V9" i="1"/>
  <c r="V6" i="1"/>
  <c r="U3" i="1"/>
  <c r="U7" i="1"/>
  <c r="U4" i="1"/>
  <c r="U8" i="1"/>
  <c r="U5" i="1"/>
  <c r="U9" i="1"/>
  <c r="U6" i="1"/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P3" i="2"/>
  <c r="N3" i="2"/>
  <c r="L3" i="2"/>
  <c r="J3" i="2"/>
  <c r="F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Z8" i="2" l="1"/>
  <c r="Z7" i="2"/>
  <c r="Z6" i="2"/>
  <c r="Z5" i="2"/>
  <c r="Z2" i="2"/>
  <c r="Z4" i="2"/>
  <c r="S5" i="2"/>
  <c r="Z3" i="2"/>
  <c r="S4" i="2"/>
  <c r="Y3" i="2"/>
  <c r="Y8" i="2"/>
  <c r="Y7" i="2"/>
  <c r="Y6" i="2"/>
  <c r="Y5" i="2"/>
  <c r="Y4" i="2"/>
  <c r="Y2" i="2"/>
  <c r="X5" i="2"/>
  <c r="X6" i="2"/>
  <c r="S3" i="2"/>
  <c r="X8" i="2"/>
  <c r="X4" i="2"/>
  <c r="X3" i="2"/>
  <c r="X7" i="2"/>
  <c r="X2" i="2"/>
  <c r="AA8" i="2"/>
  <c r="AA7" i="2"/>
  <c r="AA6" i="2"/>
  <c r="AA2" i="2"/>
  <c r="AA5" i="2"/>
  <c r="AA4" i="2"/>
  <c r="S6" i="2"/>
  <c r="AA3" i="2"/>
  <c r="S8" i="2"/>
  <c r="AC3" i="2"/>
  <c r="AC7" i="2"/>
  <c r="AC4" i="2"/>
  <c r="AC6" i="2"/>
  <c r="AC8" i="2"/>
  <c r="AC2" i="2"/>
  <c r="AC5" i="2"/>
  <c r="W7" i="2"/>
  <c r="W3" i="2"/>
  <c r="W4" i="2"/>
  <c r="W6" i="2"/>
  <c r="W2" i="2"/>
  <c r="S2" i="2"/>
  <c r="W5" i="2"/>
  <c r="W8" i="2"/>
  <c r="AB6" i="2"/>
  <c r="AB5" i="2"/>
  <c r="AB4" i="2"/>
  <c r="S7" i="2"/>
  <c r="AB3" i="2"/>
  <c r="AB7" i="2"/>
  <c r="AB2" i="2"/>
  <c r="AB8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E4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" i="1"/>
  <c r="J3" i="1" a="1"/>
  <c r="N5" i="1" a="1"/>
  <c r="H2" i="1" a="1"/>
  <c r="P6" i="1" a="1"/>
  <c r="L4" i="1" a="1"/>
  <c r="K6" i="1" l="1"/>
  <c r="K10" i="1"/>
  <c r="K14" i="1"/>
  <c r="K18" i="1"/>
  <c r="K22" i="1"/>
  <c r="K26" i="1"/>
  <c r="K30" i="1"/>
  <c r="K34" i="1"/>
  <c r="K38" i="1"/>
  <c r="K5" i="1"/>
  <c r="K17" i="1"/>
  <c r="K25" i="1"/>
  <c r="K37" i="1"/>
  <c r="K7" i="1"/>
  <c r="K11" i="1"/>
  <c r="K15" i="1"/>
  <c r="K19" i="1"/>
  <c r="K23" i="1"/>
  <c r="K27" i="1"/>
  <c r="K31" i="1"/>
  <c r="K35" i="1"/>
  <c r="K39" i="1"/>
  <c r="K9" i="1"/>
  <c r="K21" i="1"/>
  <c r="K33" i="1"/>
  <c r="K4" i="1"/>
  <c r="K8" i="1"/>
  <c r="K12" i="1"/>
  <c r="K16" i="1"/>
  <c r="K20" i="1"/>
  <c r="K24" i="1"/>
  <c r="K28" i="1"/>
  <c r="K32" i="1"/>
  <c r="K36" i="1"/>
  <c r="K40" i="1"/>
  <c r="K13" i="1"/>
  <c r="K29" i="1"/>
  <c r="K41" i="1"/>
  <c r="K3" i="1"/>
  <c r="O8" i="1"/>
  <c r="O12" i="1"/>
  <c r="O16" i="1"/>
  <c r="O20" i="1"/>
  <c r="O24" i="1"/>
  <c r="O28" i="1"/>
  <c r="O32" i="1"/>
  <c r="O36" i="1"/>
  <c r="O40" i="1"/>
  <c r="O7" i="1"/>
  <c r="O15" i="1"/>
  <c r="O27" i="1"/>
  <c r="O39" i="1"/>
  <c r="O9" i="1"/>
  <c r="O13" i="1"/>
  <c r="O17" i="1"/>
  <c r="O21" i="1"/>
  <c r="O25" i="1"/>
  <c r="O29" i="1"/>
  <c r="O33" i="1"/>
  <c r="O37" i="1"/>
  <c r="O41" i="1"/>
  <c r="O23" i="1"/>
  <c r="O35" i="1"/>
  <c r="O5" i="1"/>
  <c r="O6" i="1"/>
  <c r="O10" i="1"/>
  <c r="O14" i="1"/>
  <c r="O18" i="1"/>
  <c r="O22" i="1"/>
  <c r="O26" i="1"/>
  <c r="O30" i="1"/>
  <c r="O34" i="1"/>
  <c r="O38" i="1"/>
  <c r="O11" i="1"/>
  <c r="O19" i="1"/>
  <c r="O31" i="1"/>
  <c r="Q8" i="1"/>
  <c r="Q12" i="1"/>
  <c r="Q16" i="1"/>
  <c r="Q20" i="1"/>
  <c r="Q24" i="1"/>
  <c r="Q28" i="1"/>
  <c r="Q32" i="1"/>
  <c r="Q36" i="1"/>
  <c r="Q40" i="1"/>
  <c r="Q11" i="1"/>
  <c r="Q19" i="1"/>
  <c r="Q31" i="1"/>
  <c r="Q9" i="1"/>
  <c r="Q13" i="1"/>
  <c r="Q17" i="1"/>
  <c r="Q21" i="1"/>
  <c r="Q25" i="1"/>
  <c r="Q29" i="1"/>
  <c r="Q33" i="1"/>
  <c r="Q37" i="1"/>
  <c r="Q41" i="1"/>
  <c r="Q6" i="1"/>
  <c r="Q15" i="1"/>
  <c r="Q27" i="1"/>
  <c r="Q39" i="1"/>
  <c r="Q10" i="1"/>
  <c r="Q14" i="1"/>
  <c r="Q18" i="1"/>
  <c r="Q22" i="1"/>
  <c r="Q26" i="1"/>
  <c r="Q30" i="1"/>
  <c r="Q34" i="1"/>
  <c r="Q38" i="1"/>
  <c r="Q7" i="1"/>
  <c r="Q23" i="1"/>
  <c r="Q35" i="1"/>
  <c r="M6" i="1"/>
  <c r="M10" i="1"/>
  <c r="M14" i="1"/>
  <c r="M18" i="1"/>
  <c r="M22" i="1"/>
  <c r="M26" i="1"/>
  <c r="M30" i="1"/>
  <c r="M34" i="1"/>
  <c r="M38" i="1"/>
  <c r="M21" i="1"/>
  <c r="M37" i="1"/>
  <c r="M7" i="1"/>
  <c r="M11" i="1"/>
  <c r="M15" i="1"/>
  <c r="M19" i="1"/>
  <c r="M23" i="1"/>
  <c r="M27" i="1"/>
  <c r="M31" i="1"/>
  <c r="M35" i="1"/>
  <c r="M39" i="1"/>
  <c r="M4" i="1"/>
  <c r="M13" i="1"/>
  <c r="M29" i="1"/>
  <c r="M8" i="1"/>
  <c r="M12" i="1"/>
  <c r="M16" i="1"/>
  <c r="M20" i="1"/>
  <c r="M24" i="1"/>
  <c r="M28" i="1"/>
  <c r="M32" i="1"/>
  <c r="M36" i="1"/>
  <c r="M40" i="1"/>
  <c r="M5" i="1"/>
  <c r="M9" i="1"/>
  <c r="M17" i="1"/>
  <c r="M25" i="1"/>
  <c r="M33" i="1"/>
  <c r="M41" i="1"/>
  <c r="N6" i="1"/>
  <c r="N22" i="1"/>
  <c r="N38" i="1"/>
  <c r="N9" i="1"/>
  <c r="N7" i="1"/>
  <c r="N23" i="1"/>
  <c r="N39" i="1"/>
  <c r="N24" i="1"/>
  <c r="N25" i="1"/>
  <c r="N33" i="1"/>
  <c r="N18" i="1"/>
  <c r="N34" i="1"/>
  <c r="N36" i="1"/>
  <c r="N41" i="1"/>
  <c r="N35" i="1"/>
  <c r="N16" i="1"/>
  <c r="N13" i="1"/>
  <c r="N17" i="1"/>
  <c r="N10" i="1"/>
  <c r="N26" i="1"/>
  <c r="N20" i="1"/>
  <c r="N21" i="1"/>
  <c r="N11" i="1"/>
  <c r="N27" i="1"/>
  <c r="N8" i="1"/>
  <c r="N32" i="1"/>
  <c r="N37" i="1"/>
  <c r="N19" i="1"/>
  <c r="N14" i="1"/>
  <c r="N30" i="1"/>
  <c r="N28" i="1"/>
  <c r="N29" i="1"/>
  <c r="N15" i="1"/>
  <c r="N31" i="1"/>
  <c r="N12" i="1"/>
  <c r="N40" i="1"/>
  <c r="N5" i="1"/>
  <c r="J14" i="1"/>
  <c r="J30" i="1"/>
  <c r="J7" i="1"/>
  <c r="J23" i="1"/>
  <c r="J39" i="1"/>
  <c r="J29" i="1"/>
  <c r="J12" i="1"/>
  <c r="J28" i="1"/>
  <c r="J9" i="1"/>
  <c r="J41" i="1"/>
  <c r="J10" i="1"/>
  <c r="J3" i="1"/>
  <c r="J35" i="1"/>
  <c r="J8" i="1"/>
  <c r="J40" i="1"/>
  <c r="J18" i="1"/>
  <c r="J34" i="1"/>
  <c r="J11" i="1"/>
  <c r="J27" i="1"/>
  <c r="J5" i="1"/>
  <c r="J37" i="1"/>
  <c r="J16" i="1"/>
  <c r="J32" i="1"/>
  <c r="J17" i="1"/>
  <c r="J26" i="1"/>
  <c r="J19" i="1"/>
  <c r="J21" i="1"/>
  <c r="J24" i="1"/>
  <c r="J33" i="1"/>
  <c r="J6" i="1"/>
  <c r="J22" i="1"/>
  <c r="J38" i="1"/>
  <c r="J15" i="1"/>
  <c r="J31" i="1"/>
  <c r="J13" i="1"/>
  <c r="J4" i="1"/>
  <c r="J20" i="1"/>
  <c r="J36" i="1"/>
  <c r="J25" i="1"/>
  <c r="L12" i="1"/>
  <c r="L28" i="1"/>
  <c r="L11" i="1"/>
  <c r="L5" i="1"/>
  <c r="L21" i="1"/>
  <c r="L37" i="1"/>
  <c r="L14" i="1"/>
  <c r="L30" i="1"/>
  <c r="L15" i="1"/>
  <c r="L8" i="1"/>
  <c r="L40" i="1"/>
  <c r="L35" i="1"/>
  <c r="L33" i="1"/>
  <c r="L10" i="1"/>
  <c r="L7" i="1"/>
  <c r="L39" i="1"/>
  <c r="L16" i="1"/>
  <c r="L32" i="1"/>
  <c r="L19" i="1"/>
  <c r="L9" i="1"/>
  <c r="L25" i="1"/>
  <c r="L41" i="1"/>
  <c r="L18" i="1"/>
  <c r="L34" i="1"/>
  <c r="L23" i="1"/>
  <c r="L24" i="1"/>
  <c r="L17" i="1"/>
  <c r="L26" i="1"/>
  <c r="L4" i="1"/>
  <c r="L20" i="1"/>
  <c r="L36" i="1"/>
  <c r="L27" i="1"/>
  <c r="L13" i="1"/>
  <c r="L29" i="1"/>
  <c r="L6" i="1"/>
  <c r="L22" i="1"/>
  <c r="L38" i="1"/>
  <c r="L31" i="1"/>
  <c r="P8" i="1"/>
  <c r="P24" i="1"/>
  <c r="P40" i="1"/>
  <c r="P21" i="1"/>
  <c r="P37" i="1"/>
  <c r="P23" i="1"/>
  <c r="P14" i="1"/>
  <c r="P30" i="1"/>
  <c r="P19" i="1"/>
  <c r="P36" i="1"/>
  <c r="P33" i="1"/>
  <c r="P15" i="1"/>
  <c r="P10" i="1"/>
  <c r="P26" i="1"/>
  <c r="P11" i="1"/>
  <c r="P39" i="1"/>
  <c r="P12" i="1"/>
  <c r="P28" i="1"/>
  <c r="P9" i="1"/>
  <c r="P25" i="1"/>
  <c r="P41" i="1"/>
  <c r="P31" i="1"/>
  <c r="P18" i="1"/>
  <c r="P34" i="1"/>
  <c r="P27" i="1"/>
  <c r="P17" i="1"/>
  <c r="P16" i="1"/>
  <c r="P32" i="1"/>
  <c r="P13" i="1"/>
  <c r="P29" i="1"/>
  <c r="P7" i="1"/>
  <c r="P6" i="1"/>
  <c r="P22" i="1"/>
  <c r="P38" i="1"/>
  <c r="P35" i="1"/>
  <c r="P20" i="1"/>
  <c r="I4" i="1"/>
  <c r="I8" i="1"/>
  <c r="I12" i="1"/>
  <c r="I16" i="1"/>
  <c r="I20" i="1"/>
  <c r="I24" i="1"/>
  <c r="I28" i="1"/>
  <c r="I32" i="1"/>
  <c r="I36" i="1"/>
  <c r="I40" i="1"/>
  <c r="I10" i="1"/>
  <c r="I18" i="1"/>
  <c r="I26" i="1"/>
  <c r="I34" i="1"/>
  <c r="I38" i="1"/>
  <c r="I19" i="1"/>
  <c r="I31" i="1"/>
  <c r="I5" i="1"/>
  <c r="I9" i="1"/>
  <c r="I13" i="1"/>
  <c r="I17" i="1"/>
  <c r="I21" i="1"/>
  <c r="I25" i="1"/>
  <c r="I29" i="1"/>
  <c r="I33" i="1"/>
  <c r="I37" i="1"/>
  <c r="I41" i="1"/>
  <c r="I6" i="1"/>
  <c r="I14" i="1"/>
  <c r="I22" i="1"/>
  <c r="I30" i="1"/>
  <c r="I3" i="1"/>
  <c r="I7" i="1"/>
  <c r="I11" i="1"/>
  <c r="I23" i="1"/>
  <c r="I27" i="1"/>
  <c r="I35" i="1"/>
  <c r="I2" i="1"/>
  <c r="I15" i="1"/>
  <c r="I39" i="1"/>
  <c r="H4" i="1"/>
  <c r="H20" i="1"/>
  <c r="H36" i="1"/>
  <c r="H25" i="1"/>
  <c r="H10" i="1"/>
  <c r="H3" i="1"/>
  <c r="H35" i="1"/>
  <c r="H29" i="1"/>
  <c r="H22" i="1"/>
  <c r="H15" i="1"/>
  <c r="H12" i="1"/>
  <c r="H37" i="1"/>
  <c r="H19" i="1"/>
  <c r="H2" i="1"/>
  <c r="H31" i="1"/>
  <c r="H32" i="1"/>
  <c r="H34" i="1"/>
  <c r="H17" i="1"/>
  <c r="H7" i="1"/>
  <c r="H8" i="1"/>
  <c r="H24" i="1"/>
  <c r="H40" i="1"/>
  <c r="H33" i="1"/>
  <c r="H18" i="1"/>
  <c r="H11" i="1"/>
  <c r="H9" i="1"/>
  <c r="H41" i="1"/>
  <c r="H30" i="1"/>
  <c r="H23" i="1"/>
  <c r="H28" i="1"/>
  <c r="H5" i="1"/>
  <c r="H26" i="1"/>
  <c r="H13" i="1"/>
  <c r="H38" i="1"/>
  <c r="H16" i="1"/>
  <c r="H21" i="1"/>
  <c r="H6" i="1"/>
  <c r="H27" i="1"/>
  <c r="H14" i="1"/>
  <c r="H39" i="1"/>
  <c r="AH2" i="2" a="1"/>
  <c r="AG2" i="2" a="1"/>
  <c r="AH2" i="2"/>
  <c r="AH4" i="2"/>
  <c r="AG2" i="2"/>
  <c r="AG4" i="2"/>
  <c r="AG7" i="2"/>
  <c r="AH6" i="2"/>
  <c r="AH8" i="2"/>
  <c r="AG6" i="2"/>
  <c r="AG8" i="2"/>
  <c r="AH7" i="2"/>
  <c r="AH3" i="2"/>
  <c r="AH5" i="2"/>
  <c r="AG3" i="2"/>
  <c r="AG5" i="2"/>
  <c r="AG9" i="2"/>
</calcChain>
</file>

<file path=xl/sharedStrings.xml><?xml version="1.0" encoding="utf-8"?>
<sst xmlns="http://schemas.openxmlformats.org/spreadsheetml/2006/main" count="125" uniqueCount="75">
  <si>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</si>
  <si>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</si>
  <si>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</si>
  <si>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</si>
  <si>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</si>
  <si>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</si>
  <si>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</si>
  <si>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</si>
  <si>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</si>
  <si>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</si>
  <si>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</si>
  <si>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</si>
  <si>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</si>
  <si>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</si>
  <si>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</si>
  <si>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</si>
  <si>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</si>
  <si>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</si>
  <si>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</si>
  <si>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</si>
  <si>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</si>
  <si>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</si>
  <si>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</si>
  <si>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</si>
  <si>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</si>
  <si>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</si>
  <si>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</si>
  <si>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</si>
  <si>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</si>
  <si>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</si>
  <si>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</si>
  <si>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</si>
  <si>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</si>
  <si>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</si>
  <si>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</si>
  <si>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</si>
  <si>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</si>
  <si>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</si>
  <si>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</si>
  <si>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</si>
  <si>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</si>
  <si>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</si>
  <si>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</si>
  <si>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LULU</t>
  </si>
  <si>
    <t>DIS</t>
  </si>
  <si>
    <t>TGT</t>
  </si>
  <si>
    <t>FIZZ</t>
  </si>
  <si>
    <t>MSFT</t>
  </si>
  <si>
    <t>XOM</t>
  </si>
  <si>
    <t>V</t>
  </si>
  <si>
    <t>5Y Range</t>
  </si>
  <si>
    <t>Week</t>
  </si>
  <si>
    <t>Forward LIBOR</t>
  </si>
  <si>
    <t>Maturity</t>
  </si>
  <si>
    <t>Return Rate</t>
  </si>
  <si>
    <t>Cov Matrix</t>
  </si>
  <si>
    <t>Avg RoR</t>
  </si>
  <si>
    <t>Days in Term</t>
  </si>
  <si>
    <t>Chosen Day</t>
  </si>
  <si>
    <t>Friday, 15 Mar 2019</t>
  </si>
  <si>
    <t>Term Structures</t>
  </si>
  <si>
    <t>Swap Rates</t>
  </si>
  <si>
    <t>by start date</t>
  </si>
  <si>
    <t>K</t>
  </si>
  <si>
    <t>Stage 1</t>
  </si>
  <si>
    <t>Stage 2</t>
  </si>
  <si>
    <t>Stage 3</t>
  </si>
  <si>
    <t>Stock</t>
  </si>
  <si>
    <t>Portfolio RoR</t>
  </si>
  <si>
    <t>α</t>
  </si>
  <si>
    <t>Two-Fund Theorem</t>
  </si>
  <si>
    <t>Efficient Portfolios</t>
  </si>
  <si>
    <t>Portfolio σ</t>
  </si>
  <si>
    <t>Minimum Variance</t>
  </si>
  <si>
    <t>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</si>
</sst>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yyyy\-mm\-dd;@"/>
    <numFmt numFmtId="166" formatCode="0.0000%"/>
    <numFmt numFmtId="167" formatCode="&quot;$&quot;#,##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729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65" fontId="0" fillId="0" borderId="2" xfId="0" applyNumberFormat="1" applyBorder="1" applyAlignment="1">
      <alignment horizontal="right" wrapText="1"/>
    </xf>
    <xf numFmtId="166" fontId="0" fillId="0" borderId="3" xfId="0" applyNumberFormat="1" applyBorder="1"/>
    <xf numFmtId="165" fontId="0" fillId="0" borderId="4" xfId="0" applyNumberFormat="1" applyBorder="1" applyAlignment="1">
      <alignment horizontal="right" wrapText="1"/>
    </xf>
    <xf numFmtId="0" fontId="0" fillId="0" borderId="5" xfId="0" applyBorder="1"/>
    <xf numFmtId="164" fontId="0" fillId="0" borderId="5" xfId="0" applyNumberFormat="1" applyBorder="1" applyAlignment="1">
      <alignment horizontal="right"/>
    </xf>
    <xf numFmtId="166" fontId="0" fillId="0" borderId="6" xfId="0" applyNumberFormat="1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6" xfId="0" applyBorder="1"/>
    <xf numFmtId="0" fontId="0" fillId="0" borderId="2" xfId="0" applyBorder="1"/>
    <xf numFmtId="0" fontId="1" fillId="0" borderId="7" xfId="0" applyFont="1" applyBorder="1" applyAlignment="1">
      <alignment horizontal="right"/>
    </xf>
    <xf numFmtId="0" fontId="1" fillId="0" borderId="8" xfId="0" applyFont="1" applyBorder="1"/>
    <xf numFmtId="164" fontId="1" fillId="0" borderId="8" xfId="0" applyNumberFormat="1" applyFont="1" applyBorder="1" applyAlignment="1">
      <alignment horizontal="right"/>
    </xf>
    <xf numFmtId="0" fontId="1" fillId="0" borderId="9" xfId="0" applyFont="1" applyBorder="1"/>
    <xf numFmtId="15" fontId="1" fillId="0" borderId="7" xfId="0" applyNumberFormat="1" applyFont="1" applyBorder="1"/>
    <xf numFmtId="166" fontId="0" fillId="0" borderId="5" xfId="0" applyNumberFormat="1" applyBorder="1"/>
    <xf numFmtId="0" fontId="0" fillId="0" borderId="12" xfId="0" applyBorder="1"/>
    <xf numFmtId="0" fontId="0" fillId="0" borderId="13" xfId="0" applyBorder="1"/>
    <xf numFmtId="0" fontId="1" fillId="0" borderId="1" xfId="0" applyFont="1" applyBorder="1" applyAlignment="1">
      <alignment horizontal="right"/>
    </xf>
    <xf numFmtId="15" fontId="1" fillId="0" borderId="8" xfId="0" applyNumberFormat="1" applyFont="1" applyBorder="1"/>
    <xf numFmtId="15" fontId="1" fillId="0" borderId="9" xfId="0" applyNumberFormat="1" applyFont="1" applyBorder="1"/>
    <xf numFmtId="0" fontId="0" fillId="0" borderId="3" xfId="0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5" fontId="0" fillId="0" borderId="12" xfId="0" applyNumberFormat="1" applyBorder="1" applyAlignment="1">
      <alignment horizontal="right" vertical="center"/>
    </xf>
    <xf numFmtId="165" fontId="0" fillId="0" borderId="13" xfId="0" applyNumberFormat="1" applyBorder="1" applyAlignment="1">
      <alignment horizontal="right" vertical="center"/>
    </xf>
    <xf numFmtId="167" fontId="0" fillId="0" borderId="2" xfId="0" applyNumberFormat="1" applyBorder="1" applyAlignment="1">
      <alignment horizontal="right" vertical="center"/>
    </xf>
    <xf numFmtId="167" fontId="0" fillId="0" borderId="4" xfId="0" applyNumberFormat="1" applyBorder="1" applyAlignment="1">
      <alignment horizontal="right" vertical="center"/>
    </xf>
    <xf numFmtId="165" fontId="1" fillId="0" borderId="1" xfId="0" applyNumberFormat="1" applyFont="1" applyBorder="1" applyAlignment="1">
      <alignment horizontal="right" vertical="center"/>
    </xf>
    <xf numFmtId="167" fontId="1" fillId="0" borderId="7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167" fontId="1" fillId="0" borderId="9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167" fontId="1" fillId="0" borderId="12" xfId="0" applyNumberFormat="1" applyFont="1" applyBorder="1" applyAlignment="1">
      <alignment horizontal="right" vertical="center"/>
    </xf>
    <xf numFmtId="167" fontId="1" fillId="0" borderId="13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167" fontId="1" fillId="0" borderId="8" xfId="0" applyNumberFormat="1" applyFont="1" applyBorder="1" applyAlignment="1">
      <alignment horizontal="right" vertical="center"/>
    </xf>
    <xf numFmtId="167" fontId="1" fillId="0" borderId="11" xfId="0" applyNumberFormat="1" applyFont="1" applyBorder="1" applyAlignment="1">
      <alignment horizontal="right" vertical="center"/>
    </xf>
    <xf numFmtId="167" fontId="1" fillId="0" borderId="1" xfId="0" applyNumberFormat="1" applyFont="1" applyBorder="1" applyAlignment="1">
      <alignment horizontal="right" vertical="center"/>
    </xf>
    <xf numFmtId="166" fontId="0" fillId="0" borderId="9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4" fillId="0" borderId="0" xfId="0" applyFo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64" fontId="1" fillId="0" borderId="24" xfId="0" applyNumberFormat="1" applyFont="1" applyBorder="1" applyAlignment="1">
      <alignment vertical="center"/>
    </xf>
    <xf numFmtId="164" fontId="1" fillId="0" borderId="25" xfId="0" applyNumberFormat="1" applyFont="1" applyBorder="1" applyAlignment="1">
      <alignment vertical="center"/>
    </xf>
    <xf numFmtId="164" fontId="1" fillId="0" borderId="26" xfId="0" applyNumberFormat="1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7" xfId="0" applyBorder="1" applyAlignment="1">
      <alignment vertical="center"/>
    </xf>
    <xf numFmtId="0" fontId="3" fillId="0" borderId="1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166" fontId="0" fillId="0" borderId="28" xfId="0" applyNumberFormat="1" applyBorder="1" applyAlignment="1">
      <alignment vertical="center"/>
    </xf>
    <xf numFmtId="166" fontId="0" fillId="0" borderId="29" xfId="0" applyNumberFormat="1" applyBorder="1" applyAlignment="1">
      <alignment vertical="center"/>
    </xf>
    <xf numFmtId="166" fontId="0" fillId="0" borderId="30" xfId="0" applyNumberFormat="1" applyBorder="1" applyAlignment="1">
      <alignment vertical="center"/>
    </xf>
    <xf numFmtId="166" fontId="0" fillId="0" borderId="31" xfId="0" applyNumberFormat="1" applyBorder="1" applyAlignment="1">
      <alignment vertical="center"/>
    </xf>
    <xf numFmtId="10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12" xfId="0" applyNumberFormat="1" applyBorder="1" applyAlignment="1">
      <alignment vertical="center"/>
    </xf>
    <xf numFmtId="166" fontId="0" fillId="0" borderId="13" xfId="0" applyNumberFormat="1" applyBorder="1" applyAlignment="1">
      <alignment vertical="center"/>
    </xf>
    <xf numFmtId="0" fontId="0" fillId="0" borderId="4" xfId="0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Forward</a:t>
            </a:r>
            <a:r>
              <a:rPr lang="en-US" baseline="0"/>
              <a:t> LIBOR Term Structures by Reference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1'!$H$1</c:f>
              <c:strCache>
                <c:ptCount val="1"/>
                <c:pt idx="0">
                  <c:v>18-Mar-19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1'!$I$2:$I$41</c:f>
              <c:numCache>
                <c:formatCode>General</c:formatCode>
                <c:ptCount val="40"/>
                <c:pt idx="0">
                  <c:v>91</c:v>
                </c:pt>
                <c:pt idx="1">
                  <c:v>182</c:v>
                </c:pt>
                <c:pt idx="2">
                  <c:v>273</c:v>
                </c:pt>
                <c:pt idx="3">
                  <c:v>364</c:v>
                </c:pt>
                <c:pt idx="4">
                  <c:v>455</c:v>
                </c:pt>
                <c:pt idx="5">
                  <c:v>546</c:v>
                </c:pt>
                <c:pt idx="6">
                  <c:v>637</c:v>
                </c:pt>
                <c:pt idx="7">
                  <c:v>728</c:v>
                </c:pt>
                <c:pt idx="8">
                  <c:v>819</c:v>
                </c:pt>
                <c:pt idx="9">
                  <c:v>910</c:v>
                </c:pt>
                <c:pt idx="10">
                  <c:v>1001</c:v>
                </c:pt>
                <c:pt idx="11">
                  <c:v>1092</c:v>
                </c:pt>
                <c:pt idx="12">
                  <c:v>1183</c:v>
                </c:pt>
                <c:pt idx="13">
                  <c:v>1281</c:v>
                </c:pt>
                <c:pt idx="14">
                  <c:v>1372</c:v>
                </c:pt>
                <c:pt idx="15">
                  <c:v>1456</c:v>
                </c:pt>
                <c:pt idx="16">
                  <c:v>1554</c:v>
                </c:pt>
                <c:pt idx="17">
                  <c:v>1645</c:v>
                </c:pt>
                <c:pt idx="18">
                  <c:v>1736</c:v>
                </c:pt>
                <c:pt idx="19">
                  <c:v>1827</c:v>
                </c:pt>
                <c:pt idx="20">
                  <c:v>1918</c:v>
                </c:pt>
                <c:pt idx="21">
                  <c:v>2009</c:v>
                </c:pt>
                <c:pt idx="22">
                  <c:v>2100</c:v>
                </c:pt>
                <c:pt idx="23">
                  <c:v>2191</c:v>
                </c:pt>
                <c:pt idx="24">
                  <c:v>2282</c:v>
                </c:pt>
                <c:pt idx="25">
                  <c:v>2373</c:v>
                </c:pt>
                <c:pt idx="26">
                  <c:v>2464</c:v>
                </c:pt>
                <c:pt idx="27">
                  <c:v>2555</c:v>
                </c:pt>
                <c:pt idx="28">
                  <c:v>2646</c:v>
                </c:pt>
                <c:pt idx="29">
                  <c:v>2737</c:v>
                </c:pt>
                <c:pt idx="30">
                  <c:v>2828</c:v>
                </c:pt>
                <c:pt idx="31">
                  <c:v>2919</c:v>
                </c:pt>
                <c:pt idx="32">
                  <c:v>3010</c:v>
                </c:pt>
                <c:pt idx="33">
                  <c:v>3101</c:v>
                </c:pt>
                <c:pt idx="34">
                  <c:v>3192</c:v>
                </c:pt>
                <c:pt idx="35">
                  <c:v>3283</c:v>
                </c:pt>
                <c:pt idx="36">
                  <c:v>3381</c:v>
                </c:pt>
                <c:pt idx="37">
                  <c:v>3472</c:v>
                </c:pt>
                <c:pt idx="38">
                  <c:v>3563</c:v>
                </c:pt>
                <c:pt idx="39">
                  <c:v>3654</c:v>
                </c:pt>
              </c:numCache>
            </c:numRef>
          </c:xVal>
          <c:yVal>
            <c:numRef>
              <c:f>'Part 1'!$H$2:$H$41</c:f>
              <c:numCache>
                <c:formatCode>0.0000%</c:formatCode>
                <c:ptCount val="40"/>
                <c:pt idx="0">
                  <c:v>2.6225000000000186E-2</c:v>
                </c:pt>
                <c:pt idx="1">
                  <c:v>2.6198678263889021E-2</c:v>
                </c:pt>
                <c:pt idx="2">
                  <c:v>2.6179691540422309E-2</c:v>
                </c:pt>
                <c:pt idx="3">
                  <c:v>2.6238316394882569E-2</c:v>
                </c:pt>
                <c:pt idx="4">
                  <c:v>2.6133567680657034E-2</c:v>
                </c:pt>
                <c:pt idx="5">
                  <c:v>2.5987570014924993E-2</c:v>
                </c:pt>
                <c:pt idx="6">
                  <c:v>2.5823918027139129E-2</c:v>
                </c:pt>
                <c:pt idx="7">
                  <c:v>2.5706867888900264E-2</c:v>
                </c:pt>
                <c:pt idx="8">
                  <c:v>2.5585710233300581E-2</c:v>
                </c:pt>
                <c:pt idx="9">
                  <c:v>2.5498053700943553E-2</c:v>
                </c:pt>
                <c:pt idx="10">
                  <c:v>2.5434754685863113E-2</c:v>
                </c:pt>
                <c:pt idx="11">
                  <c:v>2.5407562499629392E-2</c:v>
                </c:pt>
                <c:pt idx="12">
                  <c:v>2.540428763251646E-2</c:v>
                </c:pt>
                <c:pt idx="13">
                  <c:v>2.5425266170328566E-2</c:v>
                </c:pt>
                <c:pt idx="14">
                  <c:v>2.5471132822196707E-2</c:v>
                </c:pt>
                <c:pt idx="15">
                  <c:v>2.5536492156192928E-2</c:v>
                </c:pt>
                <c:pt idx="16">
                  <c:v>2.563070146559639E-2</c:v>
                </c:pt>
                <c:pt idx="17">
                  <c:v>2.5733463345720003E-2</c:v>
                </c:pt>
                <c:pt idx="18">
                  <c:v>2.5854970686609312E-2</c:v>
                </c:pt>
                <c:pt idx="19">
                  <c:v>2.5998446994465914E-2</c:v>
                </c:pt>
                <c:pt idx="20">
                  <c:v>2.6155910864428866E-2</c:v>
                </c:pt>
                <c:pt idx="21">
                  <c:v>2.6325866715606591E-2</c:v>
                </c:pt>
                <c:pt idx="22">
                  <c:v>2.6507087498512799E-2</c:v>
                </c:pt>
                <c:pt idx="23">
                  <c:v>2.6703354687690535E-2</c:v>
                </c:pt>
                <c:pt idx="24">
                  <c:v>2.6906392193928035E-2</c:v>
                </c:pt>
                <c:pt idx="25">
                  <c:v>2.711575349870295E-2</c:v>
                </c:pt>
                <c:pt idx="26">
                  <c:v>2.7331065032503203E-2</c:v>
                </c:pt>
                <c:pt idx="27">
                  <c:v>2.7552013325654313E-2</c:v>
                </c:pt>
                <c:pt idx="28">
                  <c:v>2.7770111504019826E-2</c:v>
                </c:pt>
                <c:pt idx="29">
                  <c:v>2.7989789497754873E-2</c:v>
                </c:pt>
                <c:pt idx="30">
                  <c:v>2.8211118191917052E-2</c:v>
                </c:pt>
                <c:pt idx="31">
                  <c:v>2.8434163503077384E-2</c:v>
                </c:pt>
                <c:pt idx="32">
                  <c:v>2.865526692191981E-2</c:v>
                </c:pt>
                <c:pt idx="33">
                  <c:v>2.8874734442233332E-2</c:v>
                </c:pt>
                <c:pt idx="34">
                  <c:v>2.9092838959291482E-2</c:v>
                </c:pt>
                <c:pt idx="35">
                  <c:v>2.9320285502043509E-2</c:v>
                </c:pt>
                <c:pt idx="36">
                  <c:v>2.9563311871933572E-2</c:v>
                </c:pt>
                <c:pt idx="37">
                  <c:v>2.9789721192139042E-2</c:v>
                </c:pt>
                <c:pt idx="38">
                  <c:v>3.0013583564164E-2</c:v>
                </c:pt>
                <c:pt idx="39">
                  <c:v>3.0236795112651794E-2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E78-4AD9-8B5C-2C177E2DA907}"/>
            </c:ext>
          </c:extLst>
        </c:ser>
        <c:ser>
          <c:idx val="1"/>
          <c:order val="1"/>
          <c:tx>
            <c:strRef>
              <c:f>'Part 1'!$J$1</c:f>
              <c:strCache>
                <c:ptCount val="1"/>
                <c:pt idx="0">
                  <c:v>17-Jun-19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 1'!$I$3:$I$41</c:f>
              <c:numCache>
                <c:formatCode>General</c:formatCode>
                <c:ptCount val="39"/>
                <c:pt idx="0">
                  <c:v>182</c:v>
                </c:pt>
                <c:pt idx="1">
                  <c:v>273</c:v>
                </c:pt>
                <c:pt idx="2">
                  <c:v>364</c:v>
                </c:pt>
                <c:pt idx="3">
                  <c:v>455</c:v>
                </c:pt>
                <c:pt idx="4">
                  <c:v>546</c:v>
                </c:pt>
                <c:pt idx="5">
                  <c:v>637</c:v>
                </c:pt>
                <c:pt idx="6">
                  <c:v>728</c:v>
                </c:pt>
                <c:pt idx="7">
                  <c:v>819</c:v>
                </c:pt>
                <c:pt idx="8">
                  <c:v>910</c:v>
                </c:pt>
                <c:pt idx="9">
                  <c:v>1001</c:v>
                </c:pt>
                <c:pt idx="10">
                  <c:v>1092</c:v>
                </c:pt>
                <c:pt idx="11">
                  <c:v>1183</c:v>
                </c:pt>
                <c:pt idx="12">
                  <c:v>1281</c:v>
                </c:pt>
                <c:pt idx="13">
                  <c:v>1372</c:v>
                </c:pt>
                <c:pt idx="14">
                  <c:v>1456</c:v>
                </c:pt>
                <c:pt idx="15">
                  <c:v>1554</c:v>
                </c:pt>
                <c:pt idx="16">
                  <c:v>1645</c:v>
                </c:pt>
                <c:pt idx="17">
                  <c:v>1736</c:v>
                </c:pt>
                <c:pt idx="18">
                  <c:v>1827</c:v>
                </c:pt>
                <c:pt idx="19">
                  <c:v>1918</c:v>
                </c:pt>
                <c:pt idx="20">
                  <c:v>2009</c:v>
                </c:pt>
                <c:pt idx="21">
                  <c:v>2100</c:v>
                </c:pt>
                <c:pt idx="22">
                  <c:v>2191</c:v>
                </c:pt>
                <c:pt idx="23">
                  <c:v>2282</c:v>
                </c:pt>
                <c:pt idx="24">
                  <c:v>2373</c:v>
                </c:pt>
                <c:pt idx="25">
                  <c:v>2464</c:v>
                </c:pt>
                <c:pt idx="26">
                  <c:v>2555</c:v>
                </c:pt>
                <c:pt idx="27">
                  <c:v>2646</c:v>
                </c:pt>
                <c:pt idx="28">
                  <c:v>2737</c:v>
                </c:pt>
                <c:pt idx="29">
                  <c:v>2828</c:v>
                </c:pt>
                <c:pt idx="30">
                  <c:v>2919</c:v>
                </c:pt>
                <c:pt idx="31">
                  <c:v>3010</c:v>
                </c:pt>
                <c:pt idx="32">
                  <c:v>3101</c:v>
                </c:pt>
                <c:pt idx="33">
                  <c:v>3192</c:v>
                </c:pt>
                <c:pt idx="34">
                  <c:v>3283</c:v>
                </c:pt>
                <c:pt idx="35">
                  <c:v>3381</c:v>
                </c:pt>
                <c:pt idx="36">
                  <c:v>3472</c:v>
                </c:pt>
                <c:pt idx="37">
                  <c:v>3563</c:v>
                </c:pt>
                <c:pt idx="38">
                  <c:v>3654</c:v>
                </c:pt>
              </c:numCache>
            </c:numRef>
          </c:xVal>
          <c:yVal>
            <c:numRef>
              <c:f>'Part 1'!$J$3:$J$41</c:f>
              <c:numCache>
                <c:formatCode>0.0000%</c:formatCode>
                <c:ptCount val="39"/>
                <c:pt idx="0">
                  <c:v>2.5999999999999919E-2</c:v>
                </c:pt>
                <c:pt idx="1">
                  <c:v>2.5984781666666627E-2</c:v>
                </c:pt>
                <c:pt idx="2">
                  <c:v>2.6069935059092882E-2</c:v>
                </c:pt>
                <c:pt idx="3">
                  <c:v>2.5938759045286162E-2</c:v>
                </c:pt>
                <c:pt idx="4">
                  <c:v>2.5769257107201682E-2</c:v>
                </c:pt>
                <c:pt idx="5">
                  <c:v>2.5587449342303371E-2</c:v>
                </c:pt>
                <c:pt idx="6">
                  <c:v>2.5464045383368428E-2</c:v>
                </c:pt>
                <c:pt idx="7">
                  <c:v>2.5337832060334749E-2</c:v>
                </c:pt>
                <c:pt idx="8">
                  <c:v>2.5249897862157793E-2</c:v>
                </c:pt>
                <c:pt idx="9">
                  <c:v>2.5188751472034868E-2</c:v>
                </c:pt>
                <c:pt idx="10">
                  <c:v>2.5166419358930027E-2</c:v>
                </c:pt>
                <c:pt idx="11">
                  <c:v>2.5169046876491165E-2</c:v>
                </c:pt>
                <c:pt idx="12">
                  <c:v>2.5197076186187876E-2</c:v>
                </c:pt>
                <c:pt idx="13">
                  <c:v>2.5250193429002379E-2</c:v>
                </c:pt>
                <c:pt idx="14">
                  <c:v>2.5322724828452985E-2</c:v>
                </c:pt>
                <c:pt idx="15">
                  <c:v>2.5425189475125655E-2</c:v>
                </c:pt>
                <c:pt idx="16">
                  <c:v>2.5535402998679717E-2</c:v>
                </c:pt>
                <c:pt idx="17">
                  <c:v>2.5664369380143045E-2</c:v>
                </c:pt>
                <c:pt idx="18">
                  <c:v>2.5815438182532711E-2</c:v>
                </c:pt>
                <c:pt idx="19">
                  <c:v>2.5980244079258356E-2</c:v>
                </c:pt>
                <c:pt idx="20">
                  <c:v>2.6157253386929084E-2</c:v>
                </c:pt>
                <c:pt idx="21">
                  <c:v>2.6345219956590657E-2</c:v>
                </c:pt>
                <c:pt idx="22">
                  <c:v>2.6548093497961073E-2</c:v>
                </c:pt>
                <c:pt idx="23">
                  <c:v>2.675731597914905E-2</c:v>
                </c:pt>
                <c:pt idx="24">
                  <c:v>2.6972471209770029E-2</c:v>
                </c:pt>
                <c:pt idx="25">
                  <c:v>2.7193214046030159E-2</c:v>
                </c:pt>
                <c:pt idx="26">
                  <c:v>2.7419257417341487E-2</c:v>
                </c:pt>
                <c:pt idx="27">
                  <c:v>2.7641902016779716E-2</c:v>
                </c:pt>
                <c:pt idx="28">
                  <c:v>2.7865758494231452E-2</c:v>
                </c:pt>
                <c:pt idx="29">
                  <c:v>2.8090935271133131E-2</c:v>
                </c:pt>
                <c:pt idx="30">
                  <c:v>2.8317530782830634E-2</c:v>
                </c:pt>
                <c:pt idx="31">
                  <c:v>2.8541824111972227E-2</c:v>
                </c:pt>
                <c:pt idx="32">
                  <c:v>2.8764162264644327E-2</c:v>
                </c:pt>
                <c:pt idx="33">
                  <c:v>2.8984853350873759E-2</c:v>
                </c:pt>
                <c:pt idx="34">
                  <c:v>2.9214860142262215E-2</c:v>
                </c:pt>
                <c:pt idx="35">
                  <c:v>2.9460352616060129E-2</c:v>
                </c:pt>
                <c:pt idx="36">
                  <c:v>2.9688855757711644E-2</c:v>
                </c:pt>
                <c:pt idx="37">
                  <c:v>2.9914574494571047E-2</c:v>
                </c:pt>
                <c:pt idx="38">
                  <c:v>3.0139460052357205E-2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E78-4AD9-8B5C-2C177E2DA907}"/>
            </c:ext>
          </c:extLst>
        </c:ser>
        <c:ser>
          <c:idx val="2"/>
          <c:order val="2"/>
          <c:tx>
            <c:strRef>
              <c:f>'Part 1'!$L$1</c:f>
              <c:strCache>
                <c:ptCount val="1"/>
                <c:pt idx="0">
                  <c:v>16-Sep-19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 1'!$I$4:$I$41</c:f>
              <c:numCache>
                <c:formatCode>General</c:formatCode>
                <c:ptCount val="38"/>
                <c:pt idx="0">
                  <c:v>273</c:v>
                </c:pt>
                <c:pt idx="1">
                  <c:v>364</c:v>
                </c:pt>
                <c:pt idx="2">
                  <c:v>455</c:v>
                </c:pt>
                <c:pt idx="3">
                  <c:v>546</c:v>
                </c:pt>
                <c:pt idx="4">
                  <c:v>637</c:v>
                </c:pt>
                <c:pt idx="5">
                  <c:v>728</c:v>
                </c:pt>
                <c:pt idx="6">
                  <c:v>819</c:v>
                </c:pt>
                <c:pt idx="7">
                  <c:v>910</c:v>
                </c:pt>
                <c:pt idx="8">
                  <c:v>1001</c:v>
                </c:pt>
                <c:pt idx="9">
                  <c:v>1092</c:v>
                </c:pt>
                <c:pt idx="10">
                  <c:v>1183</c:v>
                </c:pt>
                <c:pt idx="11">
                  <c:v>1281</c:v>
                </c:pt>
                <c:pt idx="12">
                  <c:v>1372</c:v>
                </c:pt>
                <c:pt idx="13">
                  <c:v>1456</c:v>
                </c:pt>
                <c:pt idx="14">
                  <c:v>1554</c:v>
                </c:pt>
                <c:pt idx="15">
                  <c:v>1645</c:v>
                </c:pt>
                <c:pt idx="16">
                  <c:v>1736</c:v>
                </c:pt>
                <c:pt idx="17">
                  <c:v>1827</c:v>
                </c:pt>
                <c:pt idx="18">
                  <c:v>1918</c:v>
                </c:pt>
                <c:pt idx="19">
                  <c:v>2009</c:v>
                </c:pt>
                <c:pt idx="20">
                  <c:v>2100</c:v>
                </c:pt>
                <c:pt idx="21">
                  <c:v>2191</c:v>
                </c:pt>
                <c:pt idx="22">
                  <c:v>2282</c:v>
                </c:pt>
                <c:pt idx="23">
                  <c:v>2373</c:v>
                </c:pt>
                <c:pt idx="24">
                  <c:v>2464</c:v>
                </c:pt>
                <c:pt idx="25">
                  <c:v>2555</c:v>
                </c:pt>
                <c:pt idx="26">
                  <c:v>2646</c:v>
                </c:pt>
                <c:pt idx="27">
                  <c:v>2737</c:v>
                </c:pt>
                <c:pt idx="28">
                  <c:v>2828</c:v>
                </c:pt>
                <c:pt idx="29">
                  <c:v>2919</c:v>
                </c:pt>
                <c:pt idx="30">
                  <c:v>3010</c:v>
                </c:pt>
                <c:pt idx="31">
                  <c:v>3101</c:v>
                </c:pt>
                <c:pt idx="32">
                  <c:v>3192</c:v>
                </c:pt>
                <c:pt idx="33">
                  <c:v>3283</c:v>
                </c:pt>
                <c:pt idx="34">
                  <c:v>3381</c:v>
                </c:pt>
                <c:pt idx="35">
                  <c:v>3472</c:v>
                </c:pt>
                <c:pt idx="36">
                  <c:v>3563</c:v>
                </c:pt>
                <c:pt idx="37">
                  <c:v>3654</c:v>
                </c:pt>
              </c:numCache>
            </c:numRef>
          </c:xVal>
          <c:yVal>
            <c:numRef>
              <c:f>'Part 1'!$L$4:$L$41</c:f>
              <c:numCache>
                <c:formatCode>0.0000%</c:formatCode>
                <c:ptCount val="38"/>
                <c:pt idx="0">
                  <c:v>2.5800000000000364E-2</c:v>
                </c:pt>
                <c:pt idx="1">
                  <c:v>2.5934455583333436E-2</c:v>
                </c:pt>
                <c:pt idx="2">
                  <c:v>2.574911647819465E-2</c:v>
                </c:pt>
                <c:pt idx="3">
                  <c:v>2.55436925601213E-2</c:v>
                </c:pt>
                <c:pt idx="4">
                  <c:v>2.5338409552428103E-2</c:v>
                </c:pt>
                <c:pt idx="5">
                  <c:v>2.5209040199728534E-2</c:v>
                </c:pt>
                <c:pt idx="6">
                  <c:v>2.5078415719294245E-2</c:v>
                </c:pt>
                <c:pt idx="7">
                  <c:v>2.4991882886843605E-2</c:v>
                </c:pt>
                <c:pt idx="8">
                  <c:v>2.4934736119873308E-2</c:v>
                </c:pt>
                <c:pt idx="9">
                  <c:v>2.4919286208243532E-2</c:v>
                </c:pt>
                <c:pt idx="10">
                  <c:v>2.492966240221281E-2</c:v>
                </c:pt>
                <c:pt idx="11">
                  <c:v>2.4966506619125167E-2</c:v>
                </c:pt>
                <c:pt idx="12">
                  <c:v>2.5028363313898235E-2</c:v>
                </c:pt>
                <c:pt idx="13">
                  <c:v>2.5109323973482013E-2</c:v>
                </c:pt>
                <c:pt idx="14">
                  <c:v>2.5221304270849235E-2</c:v>
                </c:pt>
                <c:pt idx="15">
                  <c:v>2.5339964741224741E-2</c:v>
                </c:pt>
                <c:pt idx="16">
                  <c:v>2.547727303483514E-2</c:v>
                </c:pt>
                <c:pt idx="17">
                  <c:v>2.5636738040410008E-2</c:v>
                </c:pt>
                <c:pt idx="18">
                  <c:v>2.5809582177108357E-2</c:v>
                </c:pt>
                <c:pt idx="19">
                  <c:v>2.5994245970091256E-2</c:v>
                </c:pt>
                <c:pt idx="20">
                  <c:v>2.6189475949800541E-2</c:v>
                </c:pt>
                <c:pt idx="21">
                  <c:v>2.6399417196360495E-2</c:v>
                </c:pt>
                <c:pt idx="22">
                  <c:v>2.661521191769772E-2</c:v>
                </c:pt>
                <c:pt idx="23">
                  <c:v>2.683648603790708E-2</c:v>
                </c:pt>
                <c:pt idx="24">
                  <c:v>2.7062932594245689E-2</c:v>
                </c:pt>
                <c:pt idx="25">
                  <c:v>2.7294299019451032E-2</c:v>
                </c:pt>
                <c:pt idx="26">
                  <c:v>2.7521661965175907E-2</c:v>
                </c:pt>
                <c:pt idx="27">
                  <c:v>2.7749832103415865E-2</c:v>
                </c:pt>
                <c:pt idx="28">
                  <c:v>2.7978961788996556E-2</c:v>
                </c:pt>
                <c:pt idx="29">
                  <c:v>2.8209187189053613E-2</c:v>
                </c:pt>
                <c:pt idx="30">
                  <c:v>2.8436723018959664E-2</c:v>
                </c:pt>
                <c:pt idx="31">
                  <c:v>2.8661962402726188E-2</c:v>
                </c:pt>
                <c:pt idx="32">
                  <c:v>2.8885252802975929E-2</c:v>
                </c:pt>
                <c:pt idx="33">
                  <c:v>2.9117832544433949E-2</c:v>
                </c:pt>
                <c:pt idx="34">
                  <c:v>2.9365788665532005E-2</c:v>
                </c:pt>
                <c:pt idx="35">
                  <c:v>2.9596373991400731E-2</c:v>
                </c:pt>
                <c:pt idx="36">
                  <c:v>2.9823926242049624E-2</c:v>
                </c:pt>
                <c:pt idx="37">
                  <c:v>3.0050455692330866E-2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0E78-4AD9-8B5C-2C177E2DA907}"/>
            </c:ext>
          </c:extLst>
        </c:ser>
        <c:ser>
          <c:idx val="3"/>
          <c:order val="3"/>
          <c:tx>
            <c:strRef>
              <c:f>'Part 1'!$N$1</c:f>
              <c:strCache>
                <c:ptCount val="1"/>
                <c:pt idx="0">
                  <c:v>16-Dec-19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 1'!$I$5:$I$41</c:f>
              <c:numCache>
                <c:formatCode>General</c:formatCode>
                <c:ptCount val="37"/>
                <c:pt idx="0">
                  <c:v>364</c:v>
                </c:pt>
                <c:pt idx="1">
                  <c:v>455</c:v>
                </c:pt>
                <c:pt idx="2">
                  <c:v>546</c:v>
                </c:pt>
                <c:pt idx="3">
                  <c:v>637</c:v>
                </c:pt>
                <c:pt idx="4">
                  <c:v>728</c:v>
                </c:pt>
                <c:pt idx="5">
                  <c:v>819</c:v>
                </c:pt>
                <c:pt idx="6">
                  <c:v>910</c:v>
                </c:pt>
                <c:pt idx="7">
                  <c:v>1001</c:v>
                </c:pt>
                <c:pt idx="8">
                  <c:v>1092</c:v>
                </c:pt>
                <c:pt idx="9">
                  <c:v>1183</c:v>
                </c:pt>
                <c:pt idx="10">
                  <c:v>1281</c:v>
                </c:pt>
                <c:pt idx="11">
                  <c:v>1372</c:v>
                </c:pt>
                <c:pt idx="12">
                  <c:v>1456</c:v>
                </c:pt>
                <c:pt idx="13">
                  <c:v>1554</c:v>
                </c:pt>
                <c:pt idx="14">
                  <c:v>1645</c:v>
                </c:pt>
                <c:pt idx="15">
                  <c:v>1736</c:v>
                </c:pt>
                <c:pt idx="16">
                  <c:v>1827</c:v>
                </c:pt>
                <c:pt idx="17">
                  <c:v>1918</c:v>
                </c:pt>
                <c:pt idx="18">
                  <c:v>2009</c:v>
                </c:pt>
                <c:pt idx="19">
                  <c:v>2100</c:v>
                </c:pt>
                <c:pt idx="20">
                  <c:v>2191</c:v>
                </c:pt>
                <c:pt idx="21">
                  <c:v>2282</c:v>
                </c:pt>
                <c:pt idx="22">
                  <c:v>2373</c:v>
                </c:pt>
                <c:pt idx="23">
                  <c:v>2464</c:v>
                </c:pt>
                <c:pt idx="24">
                  <c:v>2555</c:v>
                </c:pt>
                <c:pt idx="25">
                  <c:v>2646</c:v>
                </c:pt>
                <c:pt idx="26">
                  <c:v>2737</c:v>
                </c:pt>
                <c:pt idx="27">
                  <c:v>2828</c:v>
                </c:pt>
                <c:pt idx="28">
                  <c:v>2919</c:v>
                </c:pt>
                <c:pt idx="29">
                  <c:v>3010</c:v>
                </c:pt>
                <c:pt idx="30">
                  <c:v>3101</c:v>
                </c:pt>
                <c:pt idx="31">
                  <c:v>3192</c:v>
                </c:pt>
                <c:pt idx="32">
                  <c:v>3283</c:v>
                </c:pt>
                <c:pt idx="33">
                  <c:v>3381</c:v>
                </c:pt>
                <c:pt idx="34">
                  <c:v>3472</c:v>
                </c:pt>
                <c:pt idx="35">
                  <c:v>3563</c:v>
                </c:pt>
                <c:pt idx="36">
                  <c:v>3654</c:v>
                </c:pt>
              </c:numCache>
            </c:numRef>
          </c:xVal>
          <c:yVal>
            <c:numRef>
              <c:f>'Part 1'!$N$5:$N$41</c:f>
              <c:numCache>
                <c:formatCode>0.0000%</c:formatCode>
                <c:ptCount val="37"/>
                <c:pt idx="0">
                  <c:v>2.5899999999999701E-2</c:v>
                </c:pt>
                <c:pt idx="1">
                  <c:v>2.5557000479166727E-2</c:v>
                </c:pt>
                <c:pt idx="2">
                  <c:v>2.5293302260585356E-2</c:v>
                </c:pt>
                <c:pt idx="3">
                  <c:v>2.5059581701869359E-2</c:v>
                </c:pt>
                <c:pt idx="4">
                  <c:v>2.4928274343828525E-2</c:v>
                </c:pt>
                <c:pt idx="5">
                  <c:v>2.4796437572143667E-2</c:v>
                </c:pt>
                <c:pt idx="6">
                  <c:v>2.4715252943683104E-2</c:v>
                </c:pt>
                <c:pt idx="7">
                  <c:v>2.4665716553401756E-2</c:v>
                </c:pt>
                <c:pt idx="8">
                  <c:v>2.4660600901392053E-2</c:v>
                </c:pt>
                <c:pt idx="9">
                  <c:v>2.4681663063157219E-2</c:v>
                </c:pt>
                <c:pt idx="10">
                  <c:v>2.4729980002656724E-2</c:v>
                </c:pt>
                <c:pt idx="11">
                  <c:v>2.4802714792033668E-2</c:v>
                </c:pt>
                <c:pt idx="12">
                  <c:v>2.489384568475787E-2</c:v>
                </c:pt>
                <c:pt idx="13">
                  <c:v>2.5017041929725679E-2</c:v>
                </c:pt>
                <c:pt idx="14">
                  <c:v>2.5145461878003206E-2</c:v>
                </c:pt>
                <c:pt idx="15">
                  <c:v>2.5292251475400197E-2</c:v>
                </c:pt>
                <c:pt idx="16">
                  <c:v>2.5461128661302845E-2</c:v>
                </c:pt>
                <c:pt idx="17">
                  <c:v>2.5642877952610024E-2</c:v>
                </c:pt>
                <c:pt idx="18">
                  <c:v>2.5835934863323171E-2</c:v>
                </c:pt>
                <c:pt idx="19">
                  <c:v>2.603905708442077E-2</c:v>
                </c:pt>
                <c:pt idx="20">
                  <c:v>2.6256619776402482E-2</c:v>
                </c:pt>
                <c:pt idx="21">
                  <c:v>2.6479447761247558E-2</c:v>
                </c:pt>
                <c:pt idx="22">
                  <c:v>2.6707224815047604E-2</c:v>
                </c:pt>
                <c:pt idx="23">
                  <c:v>2.6939694953069679E-2</c:v>
                </c:pt>
                <c:pt idx="24">
                  <c:v>2.7176650574492846E-2</c:v>
                </c:pt>
                <c:pt idx="25">
                  <c:v>2.7408932479100822E-2</c:v>
                </c:pt>
                <c:pt idx="26">
                  <c:v>2.7641573817564134E-2</c:v>
                </c:pt>
                <c:pt idx="27">
                  <c:v>2.7874778632585983E-2</c:v>
                </c:pt>
                <c:pt idx="28">
                  <c:v>2.8108727084651237E-2</c:v>
                </c:pt>
                <c:pt idx="29">
                  <c:v>2.8339567787102369E-2</c:v>
                </c:pt>
                <c:pt idx="30">
                  <c:v>2.8567745935906896E-2</c:v>
                </c:pt>
                <c:pt idx="31">
                  <c:v>2.8793653136205972E-2</c:v>
                </c:pt>
                <c:pt idx="32">
                  <c:v>2.902882280367948E-2</c:v>
                </c:pt>
                <c:pt idx="33">
                  <c:v>2.9279242925111082E-2</c:v>
                </c:pt>
                <c:pt idx="34">
                  <c:v>2.9511900347866663E-2</c:v>
                </c:pt>
                <c:pt idx="35">
                  <c:v>2.9741263721359556E-2</c:v>
                </c:pt>
                <c:pt idx="36">
                  <c:v>2.9969406710532456E-2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E78-4AD9-8B5C-2C177E2DA907}"/>
            </c:ext>
          </c:extLst>
        </c:ser>
        <c:ser>
          <c:idx val="4"/>
          <c:order val="4"/>
          <c:tx>
            <c:strRef>
              <c:f>'Part 1'!$P$1</c:f>
              <c:strCache>
                <c:ptCount val="1"/>
                <c:pt idx="0">
                  <c:v>16-Mar-20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'Part 1'!$I$6:$I$41</c:f>
              <c:numCache>
                <c:formatCode>General</c:formatCode>
                <c:ptCount val="36"/>
                <c:pt idx="0">
                  <c:v>455</c:v>
                </c:pt>
                <c:pt idx="1">
                  <c:v>546</c:v>
                </c:pt>
                <c:pt idx="2">
                  <c:v>637</c:v>
                </c:pt>
                <c:pt idx="3">
                  <c:v>728</c:v>
                </c:pt>
                <c:pt idx="4">
                  <c:v>819</c:v>
                </c:pt>
                <c:pt idx="5">
                  <c:v>910</c:v>
                </c:pt>
                <c:pt idx="6">
                  <c:v>1001</c:v>
                </c:pt>
                <c:pt idx="7">
                  <c:v>1092</c:v>
                </c:pt>
                <c:pt idx="8">
                  <c:v>1183</c:v>
                </c:pt>
                <c:pt idx="9">
                  <c:v>1281</c:v>
                </c:pt>
                <c:pt idx="10">
                  <c:v>1372</c:v>
                </c:pt>
                <c:pt idx="11">
                  <c:v>1456</c:v>
                </c:pt>
                <c:pt idx="12">
                  <c:v>1554</c:v>
                </c:pt>
                <c:pt idx="13">
                  <c:v>1645</c:v>
                </c:pt>
                <c:pt idx="14">
                  <c:v>1736</c:v>
                </c:pt>
                <c:pt idx="15">
                  <c:v>1827</c:v>
                </c:pt>
                <c:pt idx="16">
                  <c:v>1918</c:v>
                </c:pt>
                <c:pt idx="17">
                  <c:v>2009</c:v>
                </c:pt>
                <c:pt idx="18">
                  <c:v>2100</c:v>
                </c:pt>
                <c:pt idx="19">
                  <c:v>2191</c:v>
                </c:pt>
                <c:pt idx="20">
                  <c:v>2282</c:v>
                </c:pt>
                <c:pt idx="21">
                  <c:v>2373</c:v>
                </c:pt>
                <c:pt idx="22">
                  <c:v>2464</c:v>
                </c:pt>
                <c:pt idx="23">
                  <c:v>2555</c:v>
                </c:pt>
                <c:pt idx="24">
                  <c:v>2646</c:v>
                </c:pt>
                <c:pt idx="25">
                  <c:v>2737</c:v>
                </c:pt>
                <c:pt idx="26">
                  <c:v>2828</c:v>
                </c:pt>
                <c:pt idx="27">
                  <c:v>2919</c:v>
                </c:pt>
                <c:pt idx="28">
                  <c:v>3010</c:v>
                </c:pt>
                <c:pt idx="29">
                  <c:v>3101</c:v>
                </c:pt>
                <c:pt idx="30">
                  <c:v>3192</c:v>
                </c:pt>
                <c:pt idx="31">
                  <c:v>3283</c:v>
                </c:pt>
                <c:pt idx="32">
                  <c:v>3381</c:v>
                </c:pt>
                <c:pt idx="33">
                  <c:v>3472</c:v>
                </c:pt>
                <c:pt idx="34">
                  <c:v>3563</c:v>
                </c:pt>
                <c:pt idx="35">
                  <c:v>3654</c:v>
                </c:pt>
              </c:numCache>
            </c:numRef>
          </c:xVal>
          <c:yVal>
            <c:numRef>
              <c:f>'Part 1'!$P$6:$P$41</c:f>
              <c:numCache>
                <c:formatCode>0.0000%</c:formatCode>
                <c:ptCount val="36"/>
                <c:pt idx="0">
                  <c:v>2.5050000000000062E-2</c:v>
                </c:pt>
                <c:pt idx="1">
                  <c:v>2.4827409718750051E-2</c:v>
                </c:pt>
                <c:pt idx="2">
                  <c:v>2.461826783730978E-2</c:v>
                </c:pt>
                <c:pt idx="3">
                  <c:v>2.4524780553986578E-2</c:v>
                </c:pt>
                <c:pt idx="4">
                  <c:v>2.4415875704770818E-2</c:v>
                </c:pt>
                <c:pt idx="5">
                  <c:v>2.4358322516686962E-2</c:v>
                </c:pt>
                <c:pt idx="6">
                  <c:v>2.4330102517236836E-2</c:v>
                </c:pt>
                <c:pt idx="7">
                  <c:v>2.4346282256702587E-2</c:v>
                </c:pt>
                <c:pt idx="8">
                  <c:v>2.4386634352106619E-2</c:v>
                </c:pt>
                <c:pt idx="9">
                  <c:v>2.4453773650412198E-2</c:v>
                </c:pt>
                <c:pt idx="10">
                  <c:v>2.4542972842170805E-2</c:v>
                </c:pt>
                <c:pt idx="11">
                  <c:v>2.4648626304771739E-2</c:v>
                </c:pt>
                <c:pt idx="12">
                  <c:v>2.4787240917486762E-2</c:v>
                </c:pt>
                <c:pt idx="13">
                  <c:v>2.4928654294486628E-2</c:v>
                </c:pt>
                <c:pt idx="14">
                  <c:v>2.5087693886166752E-2</c:v>
                </c:pt>
                <c:pt idx="15">
                  <c:v>2.526839963544996E-2</c:v>
                </c:pt>
                <c:pt idx="16">
                  <c:v>2.5461128661302793E-2</c:v>
                </c:pt>
                <c:pt idx="17">
                  <c:v>2.5664367645310025E-2</c:v>
                </c:pt>
                <c:pt idx="18">
                  <c:v>2.5876931533926461E-2</c:v>
                </c:pt>
                <c:pt idx="19">
                  <c:v>2.6103484385181501E-2</c:v>
                </c:pt>
                <c:pt idx="20">
                  <c:v>2.6334529109265009E-2</c:v>
                </c:pt>
                <c:pt idx="21">
                  <c:v>2.6569837753605413E-2</c:v>
                </c:pt>
                <c:pt idx="22">
                  <c:v>2.6809229862527661E-2</c:v>
                </c:pt>
                <c:pt idx="23">
                  <c:v>2.7052562774704619E-2</c:v>
                </c:pt>
                <c:pt idx="24">
                  <c:v>2.7290435666998819E-2</c:v>
                </c:pt>
                <c:pt idx="25">
                  <c:v>2.7528134665850343E-2</c:v>
                </c:pt>
                <c:pt idx="26">
                  <c:v>2.7765928804661444E-2</c:v>
                </c:pt>
                <c:pt idx="27">
                  <c:v>2.8004053096862849E-2</c:v>
                </c:pt>
                <c:pt idx="28">
                  <c:v>2.8238591775012596E-2</c:v>
                </c:pt>
                <c:pt idx="29">
                  <c:v>2.8470051525448455E-2</c:v>
                </c:pt>
                <c:pt idx="30">
                  <c:v>2.8698875791697193E-2</c:v>
                </c:pt>
                <c:pt idx="31">
                  <c:v>2.8936915662924716E-2</c:v>
                </c:pt>
                <c:pt idx="32">
                  <c:v>2.9190063322917095E-2</c:v>
                </c:pt>
                <c:pt idx="33">
                  <c:v>2.9425010279304914E-2</c:v>
                </c:pt>
                <c:pt idx="34">
                  <c:v>2.9656375164709956E-2</c:v>
                </c:pt>
                <c:pt idx="35">
                  <c:v>2.9886300817381951E-2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E78-4AD9-8B5C-2C177E2D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93856"/>
        <c:axId val="496287624"/>
      </c:scatterChart>
      <c:valAx>
        <c:axId val="49629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until Maturity (offset by reference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87624"/>
        <c:crosses val="autoZero"/>
        <c:crossBetween val="midCat"/>
      </c:valAx>
      <c:valAx>
        <c:axId val="496287624"/>
        <c:scaling>
          <c:orientation val="minMax"/>
          <c:max val="3.1000000000000007E-2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Forward LIBOR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3-Month</a:t>
            </a:r>
            <a:r>
              <a:rPr lang="en-US" baseline="0"/>
              <a:t> Forward LIBOR by ED Future Settlement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66667161718624"/>
          <c:y val="9.9100529615165786E-2"/>
          <c:w val="0.80503381856241607"/>
          <c:h val="0.66802296458046595"/>
        </c:manualLayout>
      </c:layout>
      <c:lineChart>
        <c:grouping val="standard"/>
        <c:varyColors val="0"/>
        <c:ser>
          <c:idx val="0"/>
          <c:order val="0"/>
          <c:tx>
            <c:strRef>
              <c:f>'Part 1'!$E$1</c:f>
              <c:strCache>
                <c:ptCount val="1"/>
                <c:pt idx="0">
                  <c:v>Forward LIBOR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'Part 1'!$B$2:$B$42</c:f>
              <c:strCache>
                <c:ptCount val="41"/>
                <c:pt idx="0">
                  <c:v>2019-03-18</c:v>
                </c:pt>
                <c:pt idx="1">
                  <c:v>2019-06-17</c:v>
                </c:pt>
                <c:pt idx="2">
                  <c:v>2019-09-16</c:v>
                </c:pt>
                <c:pt idx="3">
                  <c:v>2019-12-16</c:v>
                </c:pt>
                <c:pt idx="4">
                  <c:v>2020-03-16</c:v>
                </c:pt>
                <c:pt idx="5">
                  <c:v>2020-06-15</c:v>
                </c:pt>
                <c:pt idx="6">
                  <c:v>2020-09-14</c:v>
                </c:pt>
                <c:pt idx="7">
                  <c:v>2020-12-14</c:v>
                </c:pt>
                <c:pt idx="8">
                  <c:v>2021-03-15</c:v>
                </c:pt>
                <c:pt idx="9">
                  <c:v>2021-06-14</c:v>
                </c:pt>
                <c:pt idx="10">
                  <c:v>2021-09-13</c:v>
                </c:pt>
                <c:pt idx="11">
                  <c:v>2021-12-13</c:v>
                </c:pt>
                <c:pt idx="12">
                  <c:v>2022-03-14</c:v>
                </c:pt>
                <c:pt idx="13">
                  <c:v>2022-06-13</c:v>
                </c:pt>
                <c:pt idx="14">
                  <c:v>2022-09-19</c:v>
                </c:pt>
                <c:pt idx="15">
                  <c:v>2022-12-19</c:v>
                </c:pt>
                <c:pt idx="16">
                  <c:v>2023-03-13</c:v>
                </c:pt>
                <c:pt idx="17">
                  <c:v>2023-06-19</c:v>
                </c:pt>
                <c:pt idx="18">
                  <c:v>2023-09-18</c:v>
                </c:pt>
                <c:pt idx="19">
                  <c:v>2023-12-18</c:v>
                </c:pt>
                <c:pt idx="20">
                  <c:v>2024-03-18</c:v>
                </c:pt>
                <c:pt idx="21">
                  <c:v>2024-06-17</c:v>
                </c:pt>
                <c:pt idx="22">
                  <c:v>2024-09-16</c:v>
                </c:pt>
                <c:pt idx="23">
                  <c:v>2024-12-16</c:v>
                </c:pt>
                <c:pt idx="24">
                  <c:v>2025-03-17</c:v>
                </c:pt>
                <c:pt idx="25">
                  <c:v>2025-06-16</c:v>
                </c:pt>
                <c:pt idx="26">
                  <c:v>2025-09-15</c:v>
                </c:pt>
                <c:pt idx="27">
                  <c:v>2025-12-15</c:v>
                </c:pt>
                <c:pt idx="28">
                  <c:v>2026-03-16</c:v>
                </c:pt>
                <c:pt idx="29">
                  <c:v>2026-06-15</c:v>
                </c:pt>
                <c:pt idx="30">
                  <c:v>2026-09-14</c:v>
                </c:pt>
                <c:pt idx="31">
                  <c:v>2026-12-14</c:v>
                </c:pt>
                <c:pt idx="32">
                  <c:v>2027-03-15</c:v>
                </c:pt>
                <c:pt idx="33">
                  <c:v>2027-06-14</c:v>
                </c:pt>
                <c:pt idx="34">
                  <c:v>2027-09-13</c:v>
                </c:pt>
                <c:pt idx="35">
                  <c:v>2027-12-13</c:v>
                </c:pt>
                <c:pt idx="36">
                  <c:v>2028-03-13</c:v>
                </c:pt>
                <c:pt idx="37">
                  <c:v>2028-06-19</c:v>
                </c:pt>
                <c:pt idx="38">
                  <c:v>2028-09-18</c:v>
                </c:pt>
                <c:pt idx="39">
                  <c:v>2028-12-18</c:v>
                </c:pt>
                <c:pt idx="40">
                  <c:v>2029-03-19</c:v>
                </c:pt>
              </c:strCache>
            </c:strRef>
          </c:cat>
          <c:val>
            <c:numRef>
              <c:f>'Part 1'!$E$2:$E$42</c:f>
              <c:numCache>
                <c:formatCode>0.0000%</c:formatCode>
                <c:ptCount val="41"/>
                <c:pt idx="0">
                  <c:v>2.6225000000000023E-2</c:v>
                </c:pt>
                <c:pt idx="1">
                  <c:v>2.5999999999999943E-2</c:v>
                </c:pt>
                <c:pt idx="2">
                  <c:v>2.5799999999999983E-2</c:v>
                </c:pt>
                <c:pt idx="3">
                  <c:v>2.5900000000000034E-2</c:v>
                </c:pt>
                <c:pt idx="4">
                  <c:v>2.5049999999999954E-2</c:v>
                </c:pt>
                <c:pt idx="5">
                  <c:v>2.444999999999993E-2</c:v>
                </c:pt>
                <c:pt idx="6">
                  <c:v>2.3900000000000005E-2</c:v>
                </c:pt>
                <c:pt idx="7">
                  <c:v>2.3799999999999953E-2</c:v>
                </c:pt>
                <c:pt idx="8">
                  <c:v>2.3400000000000035E-2</c:v>
                </c:pt>
                <c:pt idx="9">
                  <c:v>2.3349999999999937E-2</c:v>
                </c:pt>
                <c:pt idx="10">
                  <c:v>2.3299999999999984E-2</c:v>
                </c:pt>
                <c:pt idx="11">
                  <c:v>2.3449999999999988E-2</c:v>
                </c:pt>
                <c:pt idx="12">
                  <c:v>2.355000000000004E-2</c:v>
                </c:pt>
                <c:pt idx="13">
                  <c:v>2.3700000000000044E-2</c:v>
                </c:pt>
                <c:pt idx="14">
                  <c:v>2.3949999999999961E-2</c:v>
                </c:pt>
                <c:pt idx="15">
                  <c:v>2.4249999999999973E-2</c:v>
                </c:pt>
                <c:pt idx="16">
                  <c:v>2.4500000000000029E-2</c:v>
                </c:pt>
                <c:pt idx="17">
                  <c:v>2.4749999999999942E-2</c:v>
                </c:pt>
                <c:pt idx="18">
                  <c:v>2.5100000000000053E-2</c:v>
                </c:pt>
                <c:pt idx="19">
                  <c:v>2.5550000000000069E-2</c:v>
                </c:pt>
                <c:pt idx="20">
                  <c:v>2.5900000000000034E-2</c:v>
                </c:pt>
                <c:pt idx="21">
                  <c:v>2.6249999999999999E-2</c:v>
                </c:pt>
                <c:pt idx="22">
                  <c:v>2.6599999999999967E-2</c:v>
                </c:pt>
                <c:pt idx="23">
                  <c:v>2.7049999999999984E-2</c:v>
                </c:pt>
                <c:pt idx="24">
                  <c:v>2.7349999999999996E-2</c:v>
                </c:pt>
                <c:pt idx="25">
                  <c:v>2.7650000000000004E-2</c:v>
                </c:pt>
                <c:pt idx="26">
                  <c:v>2.7950000000000016E-2</c:v>
                </c:pt>
                <c:pt idx="27">
                  <c:v>2.8250000000000029E-2</c:v>
                </c:pt>
                <c:pt idx="28">
                  <c:v>2.8349999999999938E-2</c:v>
                </c:pt>
                <c:pt idx="29">
                  <c:v>2.8550000000000041E-2</c:v>
                </c:pt>
                <c:pt idx="30">
                  <c:v>2.8750000000000001E-2</c:v>
                </c:pt>
                <c:pt idx="31">
                  <c:v>2.8949999999999962E-2</c:v>
                </c:pt>
                <c:pt idx="32">
                  <c:v>2.905000000000001E-2</c:v>
                </c:pt>
                <c:pt idx="33">
                  <c:v>2.9150000000000061E-2</c:v>
                </c:pt>
                <c:pt idx="34">
                  <c:v>2.924999999999997E-2</c:v>
                </c:pt>
                <c:pt idx="35">
                  <c:v>2.9650000000000034E-2</c:v>
                </c:pt>
                <c:pt idx="36">
                  <c:v>2.9749999999999943E-2</c:v>
                </c:pt>
                <c:pt idx="37">
                  <c:v>2.9899999999999947E-2</c:v>
                </c:pt>
                <c:pt idx="38">
                  <c:v>2.9950000000000046E-2</c:v>
                </c:pt>
                <c:pt idx="39">
                  <c:v>3.0049999999999955E-2</c:v>
                </c:pt>
                <c:pt idx="40">
                  <c:v>3.010000000000005E-2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8-46D8-8629-E0889A68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091224"/>
        <c:axId val="609092208"/>
      </c:lineChart>
      <c:catAx>
        <c:axId val="60909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Settlement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2208"/>
        <c:crosses val="autoZero"/>
        <c:auto val="1"/>
        <c:lblAlgn val="ctr"/>
        <c:lblOffset val="100"/>
        <c:noMultiLvlLbl val="0"/>
      </c:catAx>
      <c:valAx>
        <c:axId val="609092208"/>
        <c:scaling>
          <c:orientation val="minMax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3-Month</a:t>
                </a:r>
                <a:r>
                  <a:rPr lang="en-US" baseline="0"/>
                  <a:t> Forward LIBOR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 Rate Swap</a:t>
            </a:r>
            <a:r>
              <a:rPr lang="en-US" baseline="0"/>
              <a:t> by Deferred </a:t>
            </a:r>
          </a:p>
          <a:p>
            <a:pPr>
              <a:defRPr/>
            </a:pPr>
            <a:r>
              <a:rPr lang="en-US" baseline="0"/>
              <a:t>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F-419D-993C-D5C7738DAD56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F-419D-993C-D5C7738DAD56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F-419D-993C-D5C7738DAD56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FF-419D-993C-D5C7738DAD56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FF-419D-993C-D5C7738D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4928"/>
        <c:axId val="500145256"/>
      </c:lineChart>
      <c:catAx>
        <c:axId val="50014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5256"/>
        <c:crosses val="autoZero"/>
        <c:auto val="1"/>
        <c:lblAlgn val="ctr"/>
        <c:lblOffset val="100"/>
        <c:noMultiLvlLbl val="0"/>
      </c:catAx>
      <c:valAx>
        <c:axId val="5001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</a:t>
            </a:r>
            <a:r>
              <a:rPr lang="en-US" baseline="0"/>
              <a:t> Rate Swap by Deferred </a:t>
            </a:r>
          </a:p>
          <a:p>
            <a:pPr>
              <a:defRPr/>
            </a:pPr>
            <a:r>
              <a:rPr lang="en-US" baseline="0"/>
              <a:t>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82-430C-AC93-A55DB1904EE8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 1'!$Z$2:$Z$9</c:f>
              <c:numCache>
                <c:formatCode>General</c:formatCode>
                <c:ptCount val="8"/>
                <c:pt idx="0">
                  <c:v>1.25</c:v>
                </c:pt>
                <c:pt idx="1">
                  <c:v>2.25</c:v>
                </c:pt>
                <c:pt idx="2">
                  <c:v>3.25</c:v>
                </c:pt>
                <c:pt idx="3">
                  <c:v>4.25</c:v>
                </c:pt>
                <c:pt idx="4">
                  <c:v>5.25</c:v>
                </c:pt>
                <c:pt idx="5">
                  <c:v>6.25</c:v>
                </c:pt>
                <c:pt idx="6">
                  <c:v>7.25</c:v>
                </c:pt>
                <c:pt idx="7">
                  <c:v>8.25</c:v>
                </c:pt>
              </c:numCache>
            </c:numRef>
          </c:xVal>
          <c:y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82-430C-AC93-A55DB1904EE8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 1'!$AA$2:$AA$9</c:f>
              <c:numCache>
                <c:formatCode>General</c:formatCode>
                <c:ptCount val="8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</c:numCache>
            </c:numRef>
          </c:xVal>
          <c:y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82-430C-AC93-A55DB1904EE8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 1'!$AB$2:$AB$9</c:f>
              <c:numCache>
                <c:formatCode>General</c:formatCode>
                <c:ptCount val="8"/>
                <c:pt idx="0">
                  <c:v>1.75</c:v>
                </c:pt>
                <c:pt idx="1">
                  <c:v>2.75</c:v>
                </c:pt>
                <c:pt idx="2">
                  <c:v>3.75</c:v>
                </c:pt>
                <c:pt idx="3">
                  <c:v>4.75</c:v>
                </c:pt>
                <c:pt idx="4">
                  <c:v>5.75</c:v>
                </c:pt>
                <c:pt idx="5">
                  <c:v>6.75</c:v>
                </c:pt>
                <c:pt idx="6">
                  <c:v>7.75</c:v>
                </c:pt>
                <c:pt idx="7">
                  <c:v>8.75</c:v>
                </c:pt>
              </c:numCache>
            </c:numRef>
          </c:xVal>
          <c:y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082-430C-AC93-A55DB1904EE8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'Part 1'!$AC$2:$AC$9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xVal>
          <c:y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082-430C-AC93-A55DB190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516608"/>
        <c:axId val="654513328"/>
      </c:scatterChart>
      <c:valAx>
        <c:axId val="65451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(offset by start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13328"/>
        <c:crosses val="autoZero"/>
        <c:crossBetween val="midCat"/>
      </c:valAx>
      <c:valAx>
        <c:axId val="6545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16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2'!$AL$10:$BO$10</c:f>
              <c:numCache>
                <c:formatCode>0.0000%</c:formatCode>
                <c:ptCount val="30"/>
                <c:pt idx="0">
                  <c:v>4.7535831243886613E-2</c:v>
                </c:pt>
                <c:pt idx="1">
                  <c:v>4.62044872491289E-2</c:v>
                </c:pt>
                <c:pt idx="2">
                  <c:v>4.488078164446601E-2</c:v>
                </c:pt>
                <c:pt idx="3">
                  <c:v>4.356541069744703E-2</c:v>
                </c:pt>
                <c:pt idx="4">
                  <c:v>4.2259152696331938E-2</c:v>
                </c:pt>
                <c:pt idx="5">
                  <c:v>4.0962879453747388E-2</c:v>
                </c:pt>
                <c:pt idx="6">
                  <c:v>3.9677569593263302E-2</c:v>
                </c:pt>
                <c:pt idx="7">
                  <c:v>3.8404323892889183E-2</c:v>
                </c:pt>
                <c:pt idx="8">
                  <c:v>3.7144382989454786E-2</c:v>
                </c:pt>
                <c:pt idx="9">
                  <c:v>3.5899147772897481E-2</c:v>
                </c:pt>
                <c:pt idx="10">
                  <c:v>3.4670202813497288E-2</c:v>
                </c:pt>
                <c:pt idx="11">
                  <c:v>3.3459343158427565E-2</c:v>
                </c:pt>
                <c:pt idx="12">
                  <c:v>3.2268604791863317E-2</c:v>
                </c:pt>
                <c:pt idx="13">
                  <c:v>3.1100298953373223E-2</c:v>
                </c:pt>
                <c:pt idx="14">
                  <c:v>2.9957050320760625E-2</c:v>
                </c:pt>
                <c:pt idx="15">
                  <c:v>2.8841838741794086E-2</c:v>
                </c:pt>
                <c:pt idx="16">
                  <c:v>2.7758043685576883E-2</c:v>
                </c:pt>
                <c:pt idx="17">
                  <c:v>2.6709489805101301E-2</c:v>
                </c:pt>
                <c:pt idx="18">
                  <c:v>2.5700490874745935E-2</c:v>
                </c:pt>
                <c:pt idx="19">
                  <c:v>2.4735887813310042E-2</c:v>
                </c:pt>
                <c:pt idx="20">
                  <c:v>2.3821074488320097E-2</c:v>
                </c:pt>
                <c:pt idx="21">
                  <c:v>2.2962002586865149E-2</c:v>
                </c:pt>
                <c:pt idx="22">
                  <c:v>2.2165154296236739E-2</c:v>
                </c:pt>
                <c:pt idx="23">
                  <c:v>2.1437469447405284E-2</c:v>
                </c:pt>
                <c:pt idx="24">
                  <c:v>2.0786213142286427E-2</c:v>
                </c:pt>
                <c:pt idx="25">
                  <c:v>2.0218772129888599E-2</c:v>
                </c:pt>
                <c:pt idx="26">
                  <c:v>1.974237486321825E-2</c:v>
                </c:pt>
                <c:pt idx="27">
                  <c:v>1.9363742231164324E-2</c:v>
                </c:pt>
                <c:pt idx="28">
                  <c:v>1.9088692734333442E-2</c:v>
                </c:pt>
                <c:pt idx="29">
                  <c:v>1.8921744015081829E-2</c:v>
                </c:pt>
              </c:numCache>
            </c:numRef>
          </c:xVal>
          <c:yVal>
            <c:numRef>
              <c:f>'Part 2'!$AL$9:$BO$9</c:f>
              <c:numCache>
                <c:formatCode>0.0000%</c:formatCode>
                <c:ptCount val="30"/>
                <c:pt idx="0">
                  <c:v>1.1230186816385917E-2</c:v>
                </c:pt>
                <c:pt idx="1">
                  <c:v>1.0913198685546459E-2</c:v>
                </c:pt>
                <c:pt idx="2">
                  <c:v>1.0596210554707003E-2</c:v>
                </c:pt>
                <c:pt idx="3">
                  <c:v>1.0279222423867548E-2</c:v>
                </c:pt>
                <c:pt idx="4">
                  <c:v>9.9622342930280917E-3</c:v>
                </c:pt>
                <c:pt idx="5">
                  <c:v>9.6452461621886355E-3</c:v>
                </c:pt>
                <c:pt idx="6">
                  <c:v>9.3282580313491792E-3</c:v>
                </c:pt>
                <c:pt idx="7">
                  <c:v>9.0112699005097212E-3</c:v>
                </c:pt>
                <c:pt idx="8">
                  <c:v>8.6942817696702666E-3</c:v>
                </c:pt>
                <c:pt idx="9">
                  <c:v>8.3772936388308086E-3</c:v>
                </c:pt>
                <c:pt idx="10">
                  <c:v>8.0603055079913541E-3</c:v>
                </c:pt>
                <c:pt idx="11">
                  <c:v>7.7433173771518978E-3</c:v>
                </c:pt>
                <c:pt idx="12">
                  <c:v>7.4263292463124415E-3</c:v>
                </c:pt>
                <c:pt idx="13">
                  <c:v>7.1093411154729844E-3</c:v>
                </c:pt>
                <c:pt idx="14">
                  <c:v>6.792352984633529E-3</c:v>
                </c:pt>
                <c:pt idx="15">
                  <c:v>6.4753648537940744E-3</c:v>
                </c:pt>
                <c:pt idx="16">
                  <c:v>6.1583767229546078E-3</c:v>
                </c:pt>
                <c:pt idx="17">
                  <c:v>5.8413885921151524E-3</c:v>
                </c:pt>
                <c:pt idx="18">
                  <c:v>5.5244004612756961E-3</c:v>
                </c:pt>
                <c:pt idx="19">
                  <c:v>5.2074123304362398E-3</c:v>
                </c:pt>
                <c:pt idx="20">
                  <c:v>4.8904241995967827E-3</c:v>
                </c:pt>
                <c:pt idx="21">
                  <c:v>4.5734360687573273E-3</c:v>
                </c:pt>
                <c:pt idx="22">
                  <c:v>4.2564479379178701E-3</c:v>
                </c:pt>
                <c:pt idx="23">
                  <c:v>3.9394598070784147E-3</c:v>
                </c:pt>
                <c:pt idx="24">
                  <c:v>3.6224716762389584E-3</c:v>
                </c:pt>
                <c:pt idx="25">
                  <c:v>3.3054835453995022E-3</c:v>
                </c:pt>
                <c:pt idx="26">
                  <c:v>2.9884954145600463E-3</c:v>
                </c:pt>
                <c:pt idx="27">
                  <c:v>2.6715072837205905E-3</c:v>
                </c:pt>
                <c:pt idx="28">
                  <c:v>2.3545191528811342E-3</c:v>
                </c:pt>
                <c:pt idx="29">
                  <c:v>2.0375310220416779E-3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C-4AE1-9B79-929A1B6D4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36824"/>
        <c:axId val="633434200"/>
      </c:scatterChart>
      <c:valAx>
        <c:axId val="633436824"/>
        <c:scaling>
          <c:orientation val="minMax"/>
          <c:min val="1.5000000000000003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</a:t>
                </a:r>
                <a:r>
                  <a:rPr lang="el-GR"/>
                  <a:t>σ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4200"/>
        <c:crosses val="autoZero"/>
        <c:crossBetween val="midCat"/>
      </c:valAx>
      <c:valAx>
        <c:axId val="63343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  <a:r>
              <a:rPr lang="en-US" baseline="0"/>
              <a:t> Year Performance of Various Stocks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2'!$C$1</c:f>
              <c:strCache>
                <c:ptCount val="1"/>
                <c:pt idx="0">
                  <c:v>LULU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2'!$B$2:$B$263</c:f>
              <c:numCache>
                <c:formatCode>yyyy\-mm\-dd;@</c:formatCode>
                <c:ptCount val="262"/>
                <c:pt idx="0">
                  <c:v>41638</c:v>
                </c:pt>
                <c:pt idx="1">
                  <c:v>41645</c:v>
                </c:pt>
                <c:pt idx="2">
                  <c:v>41652</c:v>
                </c:pt>
                <c:pt idx="3">
                  <c:v>41659</c:v>
                </c:pt>
                <c:pt idx="4">
                  <c:v>41666</c:v>
                </c:pt>
                <c:pt idx="5">
                  <c:v>41673</c:v>
                </c:pt>
                <c:pt idx="6">
                  <c:v>41680</c:v>
                </c:pt>
                <c:pt idx="7">
                  <c:v>41687</c:v>
                </c:pt>
                <c:pt idx="8">
                  <c:v>41694</c:v>
                </c:pt>
                <c:pt idx="9">
                  <c:v>41701</c:v>
                </c:pt>
                <c:pt idx="10">
                  <c:v>41708</c:v>
                </c:pt>
                <c:pt idx="11">
                  <c:v>41715</c:v>
                </c:pt>
                <c:pt idx="12">
                  <c:v>41722</c:v>
                </c:pt>
                <c:pt idx="13">
                  <c:v>41729</c:v>
                </c:pt>
                <c:pt idx="14">
                  <c:v>41736</c:v>
                </c:pt>
                <c:pt idx="15">
                  <c:v>41743</c:v>
                </c:pt>
                <c:pt idx="16">
                  <c:v>41750</c:v>
                </c:pt>
                <c:pt idx="17">
                  <c:v>41757</c:v>
                </c:pt>
                <c:pt idx="18">
                  <c:v>41764</c:v>
                </c:pt>
                <c:pt idx="19">
                  <c:v>41771</c:v>
                </c:pt>
                <c:pt idx="20">
                  <c:v>41778</c:v>
                </c:pt>
                <c:pt idx="21">
                  <c:v>41785</c:v>
                </c:pt>
                <c:pt idx="22">
                  <c:v>41792</c:v>
                </c:pt>
                <c:pt idx="23">
                  <c:v>41799</c:v>
                </c:pt>
                <c:pt idx="24">
                  <c:v>41806</c:v>
                </c:pt>
                <c:pt idx="25">
                  <c:v>41813</c:v>
                </c:pt>
                <c:pt idx="26">
                  <c:v>41820</c:v>
                </c:pt>
                <c:pt idx="27">
                  <c:v>41827</c:v>
                </c:pt>
                <c:pt idx="28">
                  <c:v>41834</c:v>
                </c:pt>
                <c:pt idx="29">
                  <c:v>41841</c:v>
                </c:pt>
                <c:pt idx="30">
                  <c:v>41848</c:v>
                </c:pt>
                <c:pt idx="31">
                  <c:v>41855</c:v>
                </c:pt>
                <c:pt idx="32">
                  <c:v>41862</c:v>
                </c:pt>
                <c:pt idx="33">
                  <c:v>41869</c:v>
                </c:pt>
                <c:pt idx="34">
                  <c:v>41876</c:v>
                </c:pt>
                <c:pt idx="35">
                  <c:v>41883</c:v>
                </c:pt>
                <c:pt idx="36">
                  <c:v>41890</c:v>
                </c:pt>
                <c:pt idx="37">
                  <c:v>41897</c:v>
                </c:pt>
                <c:pt idx="38">
                  <c:v>41904</c:v>
                </c:pt>
                <c:pt idx="39">
                  <c:v>41911</c:v>
                </c:pt>
                <c:pt idx="40">
                  <c:v>41918</c:v>
                </c:pt>
                <c:pt idx="41">
                  <c:v>41925</c:v>
                </c:pt>
                <c:pt idx="42">
                  <c:v>41932</c:v>
                </c:pt>
                <c:pt idx="43">
                  <c:v>41939</c:v>
                </c:pt>
                <c:pt idx="44">
                  <c:v>41946</c:v>
                </c:pt>
                <c:pt idx="45">
                  <c:v>41953</c:v>
                </c:pt>
                <c:pt idx="46">
                  <c:v>41960</c:v>
                </c:pt>
                <c:pt idx="47">
                  <c:v>41967</c:v>
                </c:pt>
                <c:pt idx="48">
                  <c:v>41974</c:v>
                </c:pt>
                <c:pt idx="49">
                  <c:v>41981</c:v>
                </c:pt>
                <c:pt idx="50">
                  <c:v>41988</c:v>
                </c:pt>
                <c:pt idx="51">
                  <c:v>41995</c:v>
                </c:pt>
                <c:pt idx="52">
                  <c:v>42002</c:v>
                </c:pt>
                <c:pt idx="53">
                  <c:v>42009</c:v>
                </c:pt>
                <c:pt idx="54">
                  <c:v>42016</c:v>
                </c:pt>
                <c:pt idx="55">
                  <c:v>42023</c:v>
                </c:pt>
                <c:pt idx="56">
                  <c:v>42030</c:v>
                </c:pt>
                <c:pt idx="57">
                  <c:v>42037</c:v>
                </c:pt>
                <c:pt idx="58">
                  <c:v>42044</c:v>
                </c:pt>
                <c:pt idx="59">
                  <c:v>42051</c:v>
                </c:pt>
                <c:pt idx="60">
                  <c:v>42058</c:v>
                </c:pt>
                <c:pt idx="61">
                  <c:v>42065</c:v>
                </c:pt>
                <c:pt idx="62">
                  <c:v>42072</c:v>
                </c:pt>
                <c:pt idx="63">
                  <c:v>42079</c:v>
                </c:pt>
                <c:pt idx="64">
                  <c:v>42086</c:v>
                </c:pt>
                <c:pt idx="65">
                  <c:v>42093</c:v>
                </c:pt>
                <c:pt idx="66">
                  <c:v>42100</c:v>
                </c:pt>
                <c:pt idx="67">
                  <c:v>42107</c:v>
                </c:pt>
                <c:pt idx="68">
                  <c:v>42114</c:v>
                </c:pt>
                <c:pt idx="69">
                  <c:v>42121</c:v>
                </c:pt>
                <c:pt idx="70">
                  <c:v>42128</c:v>
                </c:pt>
                <c:pt idx="71">
                  <c:v>42135</c:v>
                </c:pt>
                <c:pt idx="72">
                  <c:v>42142</c:v>
                </c:pt>
                <c:pt idx="73">
                  <c:v>42149</c:v>
                </c:pt>
                <c:pt idx="74">
                  <c:v>42156</c:v>
                </c:pt>
                <c:pt idx="75">
                  <c:v>42163</c:v>
                </c:pt>
                <c:pt idx="76">
                  <c:v>42170</c:v>
                </c:pt>
                <c:pt idx="77">
                  <c:v>42177</c:v>
                </c:pt>
                <c:pt idx="78">
                  <c:v>42184</c:v>
                </c:pt>
                <c:pt idx="79">
                  <c:v>42191</c:v>
                </c:pt>
                <c:pt idx="80">
                  <c:v>42198</c:v>
                </c:pt>
                <c:pt idx="81">
                  <c:v>42205</c:v>
                </c:pt>
                <c:pt idx="82">
                  <c:v>42212</c:v>
                </c:pt>
                <c:pt idx="83">
                  <c:v>42219</c:v>
                </c:pt>
                <c:pt idx="84">
                  <c:v>42226</c:v>
                </c:pt>
                <c:pt idx="85">
                  <c:v>42233</c:v>
                </c:pt>
                <c:pt idx="86">
                  <c:v>42240</c:v>
                </c:pt>
                <c:pt idx="87">
                  <c:v>42247</c:v>
                </c:pt>
                <c:pt idx="88">
                  <c:v>42254</c:v>
                </c:pt>
                <c:pt idx="89">
                  <c:v>42261</c:v>
                </c:pt>
                <c:pt idx="90">
                  <c:v>42268</c:v>
                </c:pt>
                <c:pt idx="91">
                  <c:v>42275</c:v>
                </c:pt>
                <c:pt idx="92">
                  <c:v>42282</c:v>
                </c:pt>
                <c:pt idx="93">
                  <c:v>42289</c:v>
                </c:pt>
                <c:pt idx="94">
                  <c:v>42296</c:v>
                </c:pt>
                <c:pt idx="95">
                  <c:v>42303</c:v>
                </c:pt>
                <c:pt idx="96">
                  <c:v>42310</c:v>
                </c:pt>
                <c:pt idx="97">
                  <c:v>42317</c:v>
                </c:pt>
                <c:pt idx="98">
                  <c:v>42324</c:v>
                </c:pt>
                <c:pt idx="99">
                  <c:v>42331</c:v>
                </c:pt>
                <c:pt idx="100">
                  <c:v>42338</c:v>
                </c:pt>
                <c:pt idx="101">
                  <c:v>42345</c:v>
                </c:pt>
                <c:pt idx="102">
                  <c:v>42352</c:v>
                </c:pt>
                <c:pt idx="103">
                  <c:v>42359</c:v>
                </c:pt>
                <c:pt idx="104">
                  <c:v>42366</c:v>
                </c:pt>
                <c:pt idx="105">
                  <c:v>42373</c:v>
                </c:pt>
                <c:pt idx="106">
                  <c:v>42380</c:v>
                </c:pt>
                <c:pt idx="107">
                  <c:v>42387</c:v>
                </c:pt>
                <c:pt idx="108">
                  <c:v>42394</c:v>
                </c:pt>
                <c:pt idx="109">
                  <c:v>42401</c:v>
                </c:pt>
                <c:pt idx="110">
                  <c:v>42408</c:v>
                </c:pt>
                <c:pt idx="111">
                  <c:v>42415</c:v>
                </c:pt>
                <c:pt idx="112">
                  <c:v>42422</c:v>
                </c:pt>
                <c:pt idx="113">
                  <c:v>42429</c:v>
                </c:pt>
                <c:pt idx="114">
                  <c:v>42436</c:v>
                </c:pt>
                <c:pt idx="115">
                  <c:v>42443</c:v>
                </c:pt>
                <c:pt idx="116">
                  <c:v>42450</c:v>
                </c:pt>
                <c:pt idx="117">
                  <c:v>42457</c:v>
                </c:pt>
                <c:pt idx="118">
                  <c:v>42464</c:v>
                </c:pt>
                <c:pt idx="119">
                  <c:v>42471</c:v>
                </c:pt>
                <c:pt idx="120">
                  <c:v>42478</c:v>
                </c:pt>
                <c:pt idx="121">
                  <c:v>42485</c:v>
                </c:pt>
                <c:pt idx="122">
                  <c:v>42492</c:v>
                </c:pt>
                <c:pt idx="123">
                  <c:v>42499</c:v>
                </c:pt>
                <c:pt idx="124">
                  <c:v>42506</c:v>
                </c:pt>
                <c:pt idx="125">
                  <c:v>42513</c:v>
                </c:pt>
                <c:pt idx="126">
                  <c:v>42520</c:v>
                </c:pt>
                <c:pt idx="127">
                  <c:v>42527</c:v>
                </c:pt>
                <c:pt idx="128">
                  <c:v>42534</c:v>
                </c:pt>
                <c:pt idx="129">
                  <c:v>42541</c:v>
                </c:pt>
                <c:pt idx="130">
                  <c:v>42548</c:v>
                </c:pt>
                <c:pt idx="131">
                  <c:v>42555</c:v>
                </c:pt>
                <c:pt idx="132">
                  <c:v>42562</c:v>
                </c:pt>
                <c:pt idx="133">
                  <c:v>42569</c:v>
                </c:pt>
                <c:pt idx="134">
                  <c:v>42576</c:v>
                </c:pt>
                <c:pt idx="135">
                  <c:v>42583</c:v>
                </c:pt>
                <c:pt idx="136">
                  <c:v>42590</c:v>
                </c:pt>
                <c:pt idx="137">
                  <c:v>42597</c:v>
                </c:pt>
                <c:pt idx="138">
                  <c:v>42604</c:v>
                </c:pt>
                <c:pt idx="139">
                  <c:v>42611</c:v>
                </c:pt>
                <c:pt idx="140">
                  <c:v>42618</c:v>
                </c:pt>
                <c:pt idx="141">
                  <c:v>42625</c:v>
                </c:pt>
                <c:pt idx="142">
                  <c:v>42632</c:v>
                </c:pt>
                <c:pt idx="143">
                  <c:v>42639</c:v>
                </c:pt>
                <c:pt idx="144">
                  <c:v>42646</c:v>
                </c:pt>
                <c:pt idx="145">
                  <c:v>42653</c:v>
                </c:pt>
                <c:pt idx="146">
                  <c:v>42660</c:v>
                </c:pt>
                <c:pt idx="147">
                  <c:v>42667</c:v>
                </c:pt>
                <c:pt idx="148">
                  <c:v>42674</c:v>
                </c:pt>
                <c:pt idx="149">
                  <c:v>42681</c:v>
                </c:pt>
                <c:pt idx="150">
                  <c:v>42688</c:v>
                </c:pt>
                <c:pt idx="151">
                  <c:v>42695</c:v>
                </c:pt>
                <c:pt idx="152">
                  <c:v>42702</c:v>
                </c:pt>
                <c:pt idx="153">
                  <c:v>42709</c:v>
                </c:pt>
                <c:pt idx="154">
                  <c:v>42716</c:v>
                </c:pt>
                <c:pt idx="155">
                  <c:v>42723</c:v>
                </c:pt>
                <c:pt idx="156">
                  <c:v>42730</c:v>
                </c:pt>
                <c:pt idx="157">
                  <c:v>42737</c:v>
                </c:pt>
                <c:pt idx="158">
                  <c:v>42744</c:v>
                </c:pt>
                <c:pt idx="159">
                  <c:v>42751</c:v>
                </c:pt>
                <c:pt idx="160">
                  <c:v>42758</c:v>
                </c:pt>
                <c:pt idx="161">
                  <c:v>42765</c:v>
                </c:pt>
                <c:pt idx="162">
                  <c:v>42772</c:v>
                </c:pt>
                <c:pt idx="163">
                  <c:v>42779</c:v>
                </c:pt>
                <c:pt idx="164">
                  <c:v>42786</c:v>
                </c:pt>
                <c:pt idx="165">
                  <c:v>42793</c:v>
                </c:pt>
                <c:pt idx="166">
                  <c:v>42800</c:v>
                </c:pt>
                <c:pt idx="167">
                  <c:v>42807</c:v>
                </c:pt>
                <c:pt idx="168">
                  <c:v>42814</c:v>
                </c:pt>
                <c:pt idx="169">
                  <c:v>42821</c:v>
                </c:pt>
                <c:pt idx="170">
                  <c:v>42828</c:v>
                </c:pt>
                <c:pt idx="171">
                  <c:v>42835</c:v>
                </c:pt>
                <c:pt idx="172">
                  <c:v>42842</c:v>
                </c:pt>
                <c:pt idx="173">
                  <c:v>42849</c:v>
                </c:pt>
                <c:pt idx="174">
                  <c:v>42856</c:v>
                </c:pt>
                <c:pt idx="175">
                  <c:v>42863</c:v>
                </c:pt>
                <c:pt idx="176">
                  <c:v>42870</c:v>
                </c:pt>
                <c:pt idx="177">
                  <c:v>42877</c:v>
                </c:pt>
                <c:pt idx="178">
                  <c:v>42884</c:v>
                </c:pt>
                <c:pt idx="179">
                  <c:v>42891</c:v>
                </c:pt>
                <c:pt idx="180">
                  <c:v>42898</c:v>
                </c:pt>
                <c:pt idx="181">
                  <c:v>42905</c:v>
                </c:pt>
                <c:pt idx="182">
                  <c:v>42912</c:v>
                </c:pt>
                <c:pt idx="183">
                  <c:v>42919</c:v>
                </c:pt>
                <c:pt idx="184">
                  <c:v>42926</c:v>
                </c:pt>
                <c:pt idx="185">
                  <c:v>42933</c:v>
                </c:pt>
                <c:pt idx="186">
                  <c:v>42940</c:v>
                </c:pt>
                <c:pt idx="187">
                  <c:v>42947</c:v>
                </c:pt>
                <c:pt idx="188">
                  <c:v>42954</c:v>
                </c:pt>
                <c:pt idx="189">
                  <c:v>42961</c:v>
                </c:pt>
                <c:pt idx="190">
                  <c:v>42968</c:v>
                </c:pt>
                <c:pt idx="191">
                  <c:v>42975</c:v>
                </c:pt>
                <c:pt idx="192">
                  <c:v>42982</c:v>
                </c:pt>
                <c:pt idx="193">
                  <c:v>42989</c:v>
                </c:pt>
                <c:pt idx="194">
                  <c:v>42996</c:v>
                </c:pt>
                <c:pt idx="195">
                  <c:v>43003</c:v>
                </c:pt>
                <c:pt idx="196">
                  <c:v>43010</c:v>
                </c:pt>
                <c:pt idx="197">
                  <c:v>43017</c:v>
                </c:pt>
                <c:pt idx="198">
                  <c:v>43024</c:v>
                </c:pt>
                <c:pt idx="199">
                  <c:v>43031</c:v>
                </c:pt>
                <c:pt idx="200">
                  <c:v>43038</c:v>
                </c:pt>
                <c:pt idx="201">
                  <c:v>43045</c:v>
                </c:pt>
                <c:pt idx="202">
                  <c:v>43052</c:v>
                </c:pt>
                <c:pt idx="203">
                  <c:v>43059</c:v>
                </c:pt>
                <c:pt idx="204">
                  <c:v>43066</c:v>
                </c:pt>
                <c:pt idx="205">
                  <c:v>43073</c:v>
                </c:pt>
                <c:pt idx="206">
                  <c:v>43080</c:v>
                </c:pt>
                <c:pt idx="207">
                  <c:v>43087</c:v>
                </c:pt>
                <c:pt idx="208">
                  <c:v>43094</c:v>
                </c:pt>
                <c:pt idx="209">
                  <c:v>43101</c:v>
                </c:pt>
                <c:pt idx="210">
                  <c:v>43108</c:v>
                </c:pt>
                <c:pt idx="211">
                  <c:v>43115</c:v>
                </c:pt>
                <c:pt idx="212">
                  <c:v>43122</c:v>
                </c:pt>
                <c:pt idx="213">
                  <c:v>43129</c:v>
                </c:pt>
                <c:pt idx="214">
                  <c:v>43136</c:v>
                </c:pt>
                <c:pt idx="215">
                  <c:v>43143</c:v>
                </c:pt>
                <c:pt idx="216">
                  <c:v>43150</c:v>
                </c:pt>
                <c:pt idx="217">
                  <c:v>43157</c:v>
                </c:pt>
                <c:pt idx="218">
                  <c:v>43164</c:v>
                </c:pt>
                <c:pt idx="219">
                  <c:v>43171</c:v>
                </c:pt>
                <c:pt idx="220">
                  <c:v>43178</c:v>
                </c:pt>
                <c:pt idx="221">
                  <c:v>43185</c:v>
                </c:pt>
                <c:pt idx="222">
                  <c:v>43192</c:v>
                </c:pt>
                <c:pt idx="223">
                  <c:v>43199</c:v>
                </c:pt>
                <c:pt idx="224">
                  <c:v>43206</c:v>
                </c:pt>
                <c:pt idx="225">
                  <c:v>43213</c:v>
                </c:pt>
                <c:pt idx="226">
                  <c:v>43220</c:v>
                </c:pt>
                <c:pt idx="227">
                  <c:v>43227</c:v>
                </c:pt>
                <c:pt idx="228">
                  <c:v>43234</c:v>
                </c:pt>
                <c:pt idx="229">
                  <c:v>43241</c:v>
                </c:pt>
                <c:pt idx="230">
                  <c:v>43248</c:v>
                </c:pt>
                <c:pt idx="231">
                  <c:v>43255</c:v>
                </c:pt>
                <c:pt idx="232">
                  <c:v>43262</c:v>
                </c:pt>
                <c:pt idx="233">
                  <c:v>43269</c:v>
                </c:pt>
                <c:pt idx="234">
                  <c:v>43276</c:v>
                </c:pt>
                <c:pt idx="235">
                  <c:v>43283</c:v>
                </c:pt>
                <c:pt idx="236">
                  <c:v>43290</c:v>
                </c:pt>
                <c:pt idx="237">
                  <c:v>43297</c:v>
                </c:pt>
                <c:pt idx="238">
                  <c:v>43304</c:v>
                </c:pt>
                <c:pt idx="239">
                  <c:v>43311</c:v>
                </c:pt>
                <c:pt idx="240">
                  <c:v>43318</c:v>
                </c:pt>
                <c:pt idx="241">
                  <c:v>43325</c:v>
                </c:pt>
                <c:pt idx="242">
                  <c:v>43332</c:v>
                </c:pt>
                <c:pt idx="243">
                  <c:v>43339</c:v>
                </c:pt>
                <c:pt idx="244">
                  <c:v>43346</c:v>
                </c:pt>
                <c:pt idx="245">
                  <c:v>43353</c:v>
                </c:pt>
                <c:pt idx="246">
                  <c:v>43360</c:v>
                </c:pt>
                <c:pt idx="247">
                  <c:v>43367</c:v>
                </c:pt>
                <c:pt idx="248">
                  <c:v>43374</c:v>
                </c:pt>
                <c:pt idx="249">
                  <c:v>43381</c:v>
                </c:pt>
                <c:pt idx="250">
                  <c:v>43388</c:v>
                </c:pt>
                <c:pt idx="251">
                  <c:v>43395</c:v>
                </c:pt>
                <c:pt idx="252">
                  <c:v>43402</c:v>
                </c:pt>
                <c:pt idx="253">
                  <c:v>43409</c:v>
                </c:pt>
                <c:pt idx="254">
                  <c:v>43416</c:v>
                </c:pt>
                <c:pt idx="255">
                  <c:v>43423</c:v>
                </c:pt>
                <c:pt idx="256">
                  <c:v>43430</c:v>
                </c:pt>
                <c:pt idx="257">
                  <c:v>43437</c:v>
                </c:pt>
                <c:pt idx="258">
                  <c:v>43444</c:v>
                </c:pt>
                <c:pt idx="259">
                  <c:v>43451</c:v>
                </c:pt>
                <c:pt idx="260">
                  <c:v>43458</c:v>
                </c:pt>
                <c:pt idx="261">
                  <c:v>43465</c:v>
                </c:pt>
              </c:numCache>
            </c:numRef>
          </c:cat>
          <c:val>
            <c:numRef>
              <c:f>'Part 2'!$C$2:$C$263</c:f>
              <c:numCache>
                <c:formatCode>"$"#,##0.0000</c:formatCode>
                <c:ptCount val="262"/>
                <c:pt idx="0">
                  <c:v>58.779998999999997</c:v>
                </c:pt>
                <c:pt idx="1">
                  <c:v>59.599997999999999</c:v>
                </c:pt>
                <c:pt idx="2">
                  <c:v>47.490001999999997</c:v>
                </c:pt>
                <c:pt idx="3">
                  <c:v>47.619999</c:v>
                </c:pt>
                <c:pt idx="4">
                  <c:v>45.689999</c:v>
                </c:pt>
                <c:pt idx="5">
                  <c:v>47.380001</c:v>
                </c:pt>
                <c:pt idx="6">
                  <c:v>51.049999</c:v>
                </c:pt>
                <c:pt idx="7">
                  <c:v>51.389999000000003</c:v>
                </c:pt>
                <c:pt idx="8">
                  <c:v>50.310001</c:v>
                </c:pt>
                <c:pt idx="9">
                  <c:v>49.610000999999997</c:v>
                </c:pt>
                <c:pt idx="10">
                  <c:v>46.779998999999997</c:v>
                </c:pt>
                <c:pt idx="11">
                  <c:v>47.630001</c:v>
                </c:pt>
                <c:pt idx="12">
                  <c:v>51.889999000000003</c:v>
                </c:pt>
                <c:pt idx="13">
                  <c:v>54.18</c:v>
                </c:pt>
                <c:pt idx="14">
                  <c:v>52.080002</c:v>
                </c:pt>
                <c:pt idx="15">
                  <c:v>51.709999000000003</c:v>
                </c:pt>
                <c:pt idx="16">
                  <c:v>45.5</c:v>
                </c:pt>
                <c:pt idx="17">
                  <c:v>45.450001</c:v>
                </c:pt>
                <c:pt idx="18">
                  <c:v>43.77</c:v>
                </c:pt>
                <c:pt idx="19">
                  <c:v>45.150002000000001</c:v>
                </c:pt>
                <c:pt idx="20">
                  <c:v>45.299999</c:v>
                </c:pt>
                <c:pt idx="21">
                  <c:v>44.630001</c:v>
                </c:pt>
                <c:pt idx="22">
                  <c:v>44.419998</c:v>
                </c:pt>
                <c:pt idx="23">
                  <c:v>37.610000999999997</c:v>
                </c:pt>
                <c:pt idx="24">
                  <c:v>40.229999999999997</c:v>
                </c:pt>
                <c:pt idx="25">
                  <c:v>40.419998</c:v>
                </c:pt>
                <c:pt idx="26">
                  <c:v>42.599997999999999</c:v>
                </c:pt>
                <c:pt idx="27">
                  <c:v>40.169998</c:v>
                </c:pt>
                <c:pt idx="28">
                  <c:v>38.150002000000001</c:v>
                </c:pt>
                <c:pt idx="29">
                  <c:v>39.029998999999997</c:v>
                </c:pt>
                <c:pt idx="30">
                  <c:v>38.299999</c:v>
                </c:pt>
                <c:pt idx="31">
                  <c:v>40.110000999999997</c:v>
                </c:pt>
                <c:pt idx="32">
                  <c:v>38.369999</c:v>
                </c:pt>
                <c:pt idx="33">
                  <c:v>40.450001</c:v>
                </c:pt>
                <c:pt idx="34">
                  <c:v>39.93</c:v>
                </c:pt>
                <c:pt idx="35">
                  <c:v>39.139999000000003</c:v>
                </c:pt>
                <c:pt idx="36">
                  <c:v>45.189999</c:v>
                </c:pt>
                <c:pt idx="37">
                  <c:v>43.240001999999997</c:v>
                </c:pt>
                <c:pt idx="38">
                  <c:v>42.990001999999997</c:v>
                </c:pt>
                <c:pt idx="39">
                  <c:v>42.07</c:v>
                </c:pt>
                <c:pt idx="40">
                  <c:v>40.349997999999999</c:v>
                </c:pt>
                <c:pt idx="41">
                  <c:v>38.840000000000003</c:v>
                </c:pt>
                <c:pt idx="42">
                  <c:v>41.400002000000001</c:v>
                </c:pt>
                <c:pt idx="43">
                  <c:v>41.650002000000001</c:v>
                </c:pt>
                <c:pt idx="44">
                  <c:v>43.759998000000003</c:v>
                </c:pt>
                <c:pt idx="45">
                  <c:v>44.990001999999997</c:v>
                </c:pt>
                <c:pt idx="46">
                  <c:v>46.91</c:v>
                </c:pt>
                <c:pt idx="47">
                  <c:v>48.189999</c:v>
                </c:pt>
                <c:pt idx="48">
                  <c:v>45.509998000000003</c:v>
                </c:pt>
                <c:pt idx="49">
                  <c:v>52.950001</c:v>
                </c:pt>
                <c:pt idx="50">
                  <c:v>53.5</c:v>
                </c:pt>
                <c:pt idx="51">
                  <c:v>54.77</c:v>
                </c:pt>
                <c:pt idx="52">
                  <c:v>55.34</c:v>
                </c:pt>
                <c:pt idx="53">
                  <c:v>58.630001</c:v>
                </c:pt>
                <c:pt idx="54">
                  <c:v>63</c:v>
                </c:pt>
                <c:pt idx="55">
                  <c:v>66.199996999999996</c:v>
                </c:pt>
                <c:pt idx="56">
                  <c:v>66.239998</c:v>
                </c:pt>
                <c:pt idx="57">
                  <c:v>64.440002000000007</c:v>
                </c:pt>
                <c:pt idx="58">
                  <c:v>65.980002999999996</c:v>
                </c:pt>
                <c:pt idx="59">
                  <c:v>67.370002999999997</c:v>
                </c:pt>
                <c:pt idx="60">
                  <c:v>68.440002000000007</c:v>
                </c:pt>
                <c:pt idx="61">
                  <c:v>62.299999</c:v>
                </c:pt>
                <c:pt idx="62">
                  <c:v>63.119999</c:v>
                </c:pt>
                <c:pt idx="63">
                  <c:v>65.739998</c:v>
                </c:pt>
                <c:pt idx="64">
                  <c:v>64.319999999999993</c:v>
                </c:pt>
                <c:pt idx="65">
                  <c:v>63.349997999999999</c:v>
                </c:pt>
                <c:pt idx="66">
                  <c:v>68.860000999999997</c:v>
                </c:pt>
                <c:pt idx="67">
                  <c:v>66.699996999999996</c:v>
                </c:pt>
                <c:pt idx="68">
                  <c:v>66.940002000000007</c:v>
                </c:pt>
                <c:pt idx="69">
                  <c:v>63.57</c:v>
                </c:pt>
                <c:pt idx="70">
                  <c:v>65.489998</c:v>
                </c:pt>
                <c:pt idx="71">
                  <c:v>64.489998</c:v>
                </c:pt>
                <c:pt idx="72">
                  <c:v>61.16</c:v>
                </c:pt>
                <c:pt idx="73">
                  <c:v>59.790000999999997</c:v>
                </c:pt>
                <c:pt idx="74">
                  <c:v>63.799999</c:v>
                </c:pt>
                <c:pt idx="75">
                  <c:v>66.480002999999996</c:v>
                </c:pt>
                <c:pt idx="76">
                  <c:v>65.989998</c:v>
                </c:pt>
                <c:pt idx="77">
                  <c:v>67.089995999999999</c:v>
                </c:pt>
                <c:pt idx="78">
                  <c:v>65.180000000000007</c:v>
                </c:pt>
                <c:pt idx="79">
                  <c:v>63</c:v>
                </c:pt>
                <c:pt idx="80">
                  <c:v>62.939999</c:v>
                </c:pt>
                <c:pt idx="81">
                  <c:v>61.240001999999997</c:v>
                </c:pt>
                <c:pt idx="82">
                  <c:v>62.860000999999997</c:v>
                </c:pt>
                <c:pt idx="83">
                  <c:v>62.369999</c:v>
                </c:pt>
                <c:pt idx="84">
                  <c:v>65.169998000000007</c:v>
                </c:pt>
                <c:pt idx="85">
                  <c:v>61.950001</c:v>
                </c:pt>
                <c:pt idx="86">
                  <c:v>63.169998</c:v>
                </c:pt>
                <c:pt idx="87">
                  <c:v>65.680000000000007</c:v>
                </c:pt>
                <c:pt idx="88">
                  <c:v>54.009998000000003</c:v>
                </c:pt>
                <c:pt idx="89">
                  <c:v>52.91</c:v>
                </c:pt>
                <c:pt idx="90">
                  <c:v>52.580002</c:v>
                </c:pt>
                <c:pt idx="91">
                  <c:v>51.119999</c:v>
                </c:pt>
                <c:pt idx="92">
                  <c:v>52.75</c:v>
                </c:pt>
                <c:pt idx="93">
                  <c:v>53.810001</c:v>
                </c:pt>
                <c:pt idx="94">
                  <c:v>48.490001999999997</c:v>
                </c:pt>
                <c:pt idx="95">
                  <c:v>49.169998</c:v>
                </c:pt>
                <c:pt idx="96">
                  <c:v>51.060001</c:v>
                </c:pt>
                <c:pt idx="97">
                  <c:v>45.049999</c:v>
                </c:pt>
                <c:pt idx="98">
                  <c:v>49.279998999999997</c:v>
                </c:pt>
                <c:pt idx="99">
                  <c:v>52.5</c:v>
                </c:pt>
                <c:pt idx="100">
                  <c:v>49.18</c:v>
                </c:pt>
                <c:pt idx="101">
                  <c:v>46.119999</c:v>
                </c:pt>
                <c:pt idx="102">
                  <c:v>50.259998000000003</c:v>
                </c:pt>
                <c:pt idx="103">
                  <c:v>53.189999</c:v>
                </c:pt>
                <c:pt idx="104">
                  <c:v>52.470001000000003</c:v>
                </c:pt>
                <c:pt idx="105">
                  <c:v>53.91</c:v>
                </c:pt>
                <c:pt idx="106">
                  <c:v>55.709999000000003</c:v>
                </c:pt>
                <c:pt idx="107">
                  <c:v>58.029998999999997</c:v>
                </c:pt>
                <c:pt idx="108">
                  <c:v>62.07</c:v>
                </c:pt>
                <c:pt idx="109">
                  <c:v>60.75</c:v>
                </c:pt>
                <c:pt idx="110">
                  <c:v>58.84</c:v>
                </c:pt>
                <c:pt idx="111">
                  <c:v>60.759998000000003</c:v>
                </c:pt>
                <c:pt idx="112">
                  <c:v>61.560001</c:v>
                </c:pt>
                <c:pt idx="113">
                  <c:v>61.220001000000003</c:v>
                </c:pt>
                <c:pt idx="114">
                  <c:v>64.419998000000007</c:v>
                </c:pt>
                <c:pt idx="115">
                  <c:v>62.509998000000003</c:v>
                </c:pt>
                <c:pt idx="116">
                  <c:v>60.889999000000003</c:v>
                </c:pt>
                <c:pt idx="117">
                  <c:v>68.690002000000007</c:v>
                </c:pt>
                <c:pt idx="118">
                  <c:v>63.75</c:v>
                </c:pt>
                <c:pt idx="119">
                  <c:v>64.800003000000004</c:v>
                </c:pt>
                <c:pt idx="120">
                  <c:v>66.239998</c:v>
                </c:pt>
                <c:pt idx="121">
                  <c:v>65.550003000000004</c:v>
                </c:pt>
                <c:pt idx="122">
                  <c:v>62.810001</c:v>
                </c:pt>
                <c:pt idx="123">
                  <c:v>61.580002</c:v>
                </c:pt>
                <c:pt idx="124">
                  <c:v>62.490001999999997</c:v>
                </c:pt>
                <c:pt idx="125">
                  <c:v>64.690002000000007</c:v>
                </c:pt>
                <c:pt idx="126">
                  <c:v>67.239998</c:v>
                </c:pt>
                <c:pt idx="127">
                  <c:v>70.540001000000004</c:v>
                </c:pt>
                <c:pt idx="128">
                  <c:v>71.709998999999996</c:v>
                </c:pt>
                <c:pt idx="129">
                  <c:v>69.620002999999997</c:v>
                </c:pt>
                <c:pt idx="130">
                  <c:v>73.959998999999996</c:v>
                </c:pt>
                <c:pt idx="131">
                  <c:v>76.720000999999996</c:v>
                </c:pt>
                <c:pt idx="132">
                  <c:v>77.800003000000004</c:v>
                </c:pt>
                <c:pt idx="133">
                  <c:v>76.139999000000003</c:v>
                </c:pt>
                <c:pt idx="134">
                  <c:v>77.650002000000001</c:v>
                </c:pt>
                <c:pt idx="135">
                  <c:v>77.800003000000004</c:v>
                </c:pt>
                <c:pt idx="136">
                  <c:v>79.339995999999999</c:v>
                </c:pt>
                <c:pt idx="137">
                  <c:v>80.650002000000001</c:v>
                </c:pt>
                <c:pt idx="138">
                  <c:v>78.190002000000007</c:v>
                </c:pt>
                <c:pt idx="139">
                  <c:v>68.569999999999993</c:v>
                </c:pt>
                <c:pt idx="140">
                  <c:v>64.800003000000004</c:v>
                </c:pt>
                <c:pt idx="141">
                  <c:v>65.980002999999996</c:v>
                </c:pt>
                <c:pt idx="142">
                  <c:v>65.190002000000007</c:v>
                </c:pt>
                <c:pt idx="143">
                  <c:v>60.98</c:v>
                </c:pt>
                <c:pt idx="144">
                  <c:v>58.290000999999997</c:v>
                </c:pt>
                <c:pt idx="145">
                  <c:v>56.619999</c:v>
                </c:pt>
                <c:pt idx="146">
                  <c:v>57</c:v>
                </c:pt>
                <c:pt idx="147">
                  <c:v>58.400002000000001</c:v>
                </c:pt>
                <c:pt idx="148">
                  <c:v>55.84</c:v>
                </c:pt>
                <c:pt idx="149">
                  <c:v>57.84</c:v>
                </c:pt>
                <c:pt idx="150">
                  <c:v>54.610000999999997</c:v>
                </c:pt>
                <c:pt idx="151">
                  <c:v>57.990001999999997</c:v>
                </c:pt>
                <c:pt idx="152">
                  <c:v>55.310001</c:v>
                </c:pt>
                <c:pt idx="153">
                  <c:v>69.300003000000004</c:v>
                </c:pt>
                <c:pt idx="154">
                  <c:v>66.419998000000007</c:v>
                </c:pt>
                <c:pt idx="155">
                  <c:v>64.410004000000001</c:v>
                </c:pt>
                <c:pt idx="156">
                  <c:v>64.989998</c:v>
                </c:pt>
                <c:pt idx="157">
                  <c:v>68.269997000000004</c:v>
                </c:pt>
                <c:pt idx="158">
                  <c:v>67.919998000000007</c:v>
                </c:pt>
                <c:pt idx="159">
                  <c:v>67.319999999999993</c:v>
                </c:pt>
                <c:pt idx="160">
                  <c:v>66.819999999999993</c:v>
                </c:pt>
                <c:pt idx="161">
                  <c:v>66.389999000000003</c:v>
                </c:pt>
                <c:pt idx="162">
                  <c:v>67.620002999999997</c:v>
                </c:pt>
                <c:pt idx="163">
                  <c:v>66.730002999999996</c:v>
                </c:pt>
                <c:pt idx="164">
                  <c:v>65.319999999999993</c:v>
                </c:pt>
                <c:pt idx="165">
                  <c:v>65.699996999999996</c:v>
                </c:pt>
                <c:pt idx="166">
                  <c:v>65.080001999999993</c:v>
                </c:pt>
                <c:pt idx="167">
                  <c:v>64.040001000000004</c:v>
                </c:pt>
                <c:pt idx="168">
                  <c:v>63.689999</c:v>
                </c:pt>
                <c:pt idx="169">
                  <c:v>51.869999</c:v>
                </c:pt>
                <c:pt idx="170">
                  <c:v>50.630001</c:v>
                </c:pt>
                <c:pt idx="171">
                  <c:v>51.220001000000003</c:v>
                </c:pt>
                <c:pt idx="172">
                  <c:v>53.080002</c:v>
                </c:pt>
                <c:pt idx="173">
                  <c:v>52</c:v>
                </c:pt>
                <c:pt idx="174">
                  <c:v>51.950001</c:v>
                </c:pt>
                <c:pt idx="175">
                  <c:v>53.119999</c:v>
                </c:pt>
                <c:pt idx="176">
                  <c:v>49.290000999999997</c:v>
                </c:pt>
                <c:pt idx="177">
                  <c:v>48.23</c:v>
                </c:pt>
                <c:pt idx="178">
                  <c:v>54.290000999999997</c:v>
                </c:pt>
                <c:pt idx="179">
                  <c:v>51.700001</c:v>
                </c:pt>
                <c:pt idx="180">
                  <c:v>52.970001000000003</c:v>
                </c:pt>
                <c:pt idx="181">
                  <c:v>55.369999</c:v>
                </c:pt>
                <c:pt idx="182">
                  <c:v>59.669998</c:v>
                </c:pt>
                <c:pt idx="183">
                  <c:v>58.360000999999997</c:v>
                </c:pt>
                <c:pt idx="184">
                  <c:v>59.810001</c:v>
                </c:pt>
                <c:pt idx="185">
                  <c:v>61.939999</c:v>
                </c:pt>
                <c:pt idx="186">
                  <c:v>61.830002</c:v>
                </c:pt>
                <c:pt idx="187">
                  <c:v>61.759998000000003</c:v>
                </c:pt>
                <c:pt idx="188">
                  <c:v>59.759998000000003</c:v>
                </c:pt>
                <c:pt idx="189">
                  <c:v>58.130001</c:v>
                </c:pt>
                <c:pt idx="190">
                  <c:v>60.209999000000003</c:v>
                </c:pt>
                <c:pt idx="191">
                  <c:v>61.689999</c:v>
                </c:pt>
                <c:pt idx="192">
                  <c:v>62.34</c:v>
                </c:pt>
                <c:pt idx="193">
                  <c:v>60.599997999999999</c:v>
                </c:pt>
                <c:pt idx="194">
                  <c:v>58.139999000000003</c:v>
                </c:pt>
                <c:pt idx="195">
                  <c:v>62.25</c:v>
                </c:pt>
                <c:pt idx="196">
                  <c:v>61.299999</c:v>
                </c:pt>
                <c:pt idx="197">
                  <c:v>59.169998</c:v>
                </c:pt>
                <c:pt idx="198">
                  <c:v>63.290000999999997</c:v>
                </c:pt>
                <c:pt idx="199">
                  <c:v>62.400002000000001</c:v>
                </c:pt>
                <c:pt idx="200">
                  <c:v>61.150002000000001</c:v>
                </c:pt>
                <c:pt idx="201">
                  <c:v>64.870002999999997</c:v>
                </c:pt>
                <c:pt idx="202">
                  <c:v>66.309997999999993</c:v>
                </c:pt>
                <c:pt idx="203">
                  <c:v>66.790001000000004</c:v>
                </c:pt>
                <c:pt idx="204">
                  <c:v>67.220000999999996</c:v>
                </c:pt>
                <c:pt idx="205">
                  <c:v>73.769997000000004</c:v>
                </c:pt>
                <c:pt idx="206">
                  <c:v>75.819999999999993</c:v>
                </c:pt>
                <c:pt idx="207">
                  <c:v>78.480002999999996</c:v>
                </c:pt>
                <c:pt idx="208">
                  <c:v>78.589995999999999</c:v>
                </c:pt>
                <c:pt idx="209">
                  <c:v>79.430000000000007</c:v>
                </c:pt>
                <c:pt idx="210">
                  <c:v>78.839995999999999</c:v>
                </c:pt>
                <c:pt idx="211">
                  <c:v>79.339995999999999</c:v>
                </c:pt>
                <c:pt idx="212">
                  <c:v>79.080001999999993</c:v>
                </c:pt>
                <c:pt idx="213">
                  <c:v>78.620002999999997</c:v>
                </c:pt>
                <c:pt idx="214">
                  <c:v>77.150002000000001</c:v>
                </c:pt>
                <c:pt idx="215">
                  <c:v>81.400002000000001</c:v>
                </c:pt>
                <c:pt idx="216">
                  <c:v>81.860000999999997</c:v>
                </c:pt>
                <c:pt idx="217">
                  <c:v>82.07</c:v>
                </c:pt>
                <c:pt idx="218">
                  <c:v>81</c:v>
                </c:pt>
                <c:pt idx="219">
                  <c:v>80.760002</c:v>
                </c:pt>
                <c:pt idx="220">
                  <c:v>79.510002</c:v>
                </c:pt>
                <c:pt idx="221">
                  <c:v>89.120002999999997</c:v>
                </c:pt>
                <c:pt idx="222">
                  <c:v>89.610000999999997</c:v>
                </c:pt>
                <c:pt idx="223">
                  <c:v>91.709998999999996</c:v>
                </c:pt>
                <c:pt idx="224">
                  <c:v>96.309997999999993</c:v>
                </c:pt>
                <c:pt idx="225">
                  <c:v>99.169998000000007</c:v>
                </c:pt>
                <c:pt idx="226">
                  <c:v>95.489998</c:v>
                </c:pt>
                <c:pt idx="227">
                  <c:v>98.540001000000004</c:v>
                </c:pt>
                <c:pt idx="228">
                  <c:v>102.82</c:v>
                </c:pt>
                <c:pt idx="229">
                  <c:v>106.18</c:v>
                </c:pt>
                <c:pt idx="230">
                  <c:v>122.19000200000001</c:v>
                </c:pt>
                <c:pt idx="231">
                  <c:v>122.019997</c:v>
                </c:pt>
                <c:pt idx="232">
                  <c:v>128.36999499999999</c:v>
                </c:pt>
                <c:pt idx="233">
                  <c:v>124.18</c:v>
                </c:pt>
                <c:pt idx="234">
                  <c:v>124.849998</c:v>
                </c:pt>
                <c:pt idx="235">
                  <c:v>128.53999300000001</c:v>
                </c:pt>
                <c:pt idx="236">
                  <c:v>125.449997</c:v>
                </c:pt>
                <c:pt idx="237">
                  <c:v>126.449997</c:v>
                </c:pt>
                <c:pt idx="238">
                  <c:v>120</c:v>
                </c:pt>
                <c:pt idx="239">
                  <c:v>126.08000199999999</c:v>
                </c:pt>
                <c:pt idx="240">
                  <c:v>130.520004</c:v>
                </c:pt>
                <c:pt idx="241">
                  <c:v>130.19000199999999</c:v>
                </c:pt>
                <c:pt idx="242">
                  <c:v>138.759995</c:v>
                </c:pt>
                <c:pt idx="243">
                  <c:v>154.929993</c:v>
                </c:pt>
                <c:pt idx="244">
                  <c:v>150.820007</c:v>
                </c:pt>
                <c:pt idx="245">
                  <c:v>153.71000699999999</c:v>
                </c:pt>
                <c:pt idx="246">
                  <c:v>156.990005</c:v>
                </c:pt>
                <c:pt idx="247">
                  <c:v>162.490005</c:v>
                </c:pt>
                <c:pt idx="248">
                  <c:v>153.83999600000001</c:v>
                </c:pt>
                <c:pt idx="249">
                  <c:v>143.71000699999999</c:v>
                </c:pt>
                <c:pt idx="250">
                  <c:v>136.770004</c:v>
                </c:pt>
                <c:pt idx="251">
                  <c:v>134.820007</c:v>
                </c:pt>
                <c:pt idx="252">
                  <c:v>142.020004</c:v>
                </c:pt>
                <c:pt idx="253">
                  <c:v>137.55999800000001</c:v>
                </c:pt>
                <c:pt idx="254">
                  <c:v>134.529999</c:v>
                </c:pt>
                <c:pt idx="255">
                  <c:v>120.860001</c:v>
                </c:pt>
                <c:pt idx="256">
                  <c:v>132.550003</c:v>
                </c:pt>
                <c:pt idx="257">
                  <c:v>113.870003</c:v>
                </c:pt>
                <c:pt idx="258">
                  <c:v>119.120003</c:v>
                </c:pt>
                <c:pt idx="259">
                  <c:v>113.739998</c:v>
                </c:pt>
                <c:pt idx="260">
                  <c:v>121.400002</c:v>
                </c:pt>
                <c:pt idx="261">
                  <c:v>121.610001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B-431E-8C15-87A765A54E68}"/>
            </c:ext>
          </c:extLst>
        </c:ser>
        <c:ser>
          <c:idx val="1"/>
          <c:order val="1"/>
          <c:tx>
            <c:strRef>
              <c:f>'Part 2'!$E$1</c:f>
              <c:strCache>
                <c:ptCount val="1"/>
                <c:pt idx="0">
                  <c:v>DIS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'Part 2'!$E$2:$E$263</c:f>
              <c:numCache>
                <c:formatCode>"$"#,##0.0000</c:formatCode>
                <c:ptCount val="262"/>
                <c:pt idx="0">
                  <c:v>76.110000999999997</c:v>
                </c:pt>
                <c:pt idx="1">
                  <c:v>75.389999000000003</c:v>
                </c:pt>
                <c:pt idx="2">
                  <c:v>73.980002999999996</c:v>
                </c:pt>
                <c:pt idx="3">
                  <c:v>72.720000999999996</c:v>
                </c:pt>
                <c:pt idx="4">
                  <c:v>72.610000999999997</c:v>
                </c:pt>
                <c:pt idx="5">
                  <c:v>75.669998000000007</c:v>
                </c:pt>
                <c:pt idx="6">
                  <c:v>79.230002999999996</c:v>
                </c:pt>
                <c:pt idx="7">
                  <c:v>80.129997000000003</c:v>
                </c:pt>
                <c:pt idx="8">
                  <c:v>80.809997999999993</c:v>
                </c:pt>
                <c:pt idx="9">
                  <c:v>82.209998999999996</c:v>
                </c:pt>
                <c:pt idx="10">
                  <c:v>80.069999999999993</c:v>
                </c:pt>
                <c:pt idx="11">
                  <c:v>80.349997999999999</c:v>
                </c:pt>
                <c:pt idx="12">
                  <c:v>78.989998</c:v>
                </c:pt>
                <c:pt idx="13">
                  <c:v>80.430000000000007</c:v>
                </c:pt>
                <c:pt idx="14">
                  <c:v>77.010002</c:v>
                </c:pt>
                <c:pt idx="15">
                  <c:v>79.989998</c:v>
                </c:pt>
                <c:pt idx="16">
                  <c:v>78.230002999999996</c:v>
                </c:pt>
                <c:pt idx="17">
                  <c:v>80.309997999999993</c:v>
                </c:pt>
                <c:pt idx="18">
                  <c:v>81.949996999999996</c:v>
                </c:pt>
                <c:pt idx="19">
                  <c:v>80.389999000000003</c:v>
                </c:pt>
                <c:pt idx="20">
                  <c:v>83.32</c:v>
                </c:pt>
                <c:pt idx="21">
                  <c:v>84.010002</c:v>
                </c:pt>
                <c:pt idx="22">
                  <c:v>84.610000999999997</c:v>
                </c:pt>
                <c:pt idx="23">
                  <c:v>82.800003000000004</c:v>
                </c:pt>
                <c:pt idx="24">
                  <c:v>82.82</c:v>
                </c:pt>
                <c:pt idx="25">
                  <c:v>85.300003000000004</c:v>
                </c:pt>
                <c:pt idx="26">
                  <c:v>86.839995999999999</c:v>
                </c:pt>
                <c:pt idx="27">
                  <c:v>86.889999000000003</c:v>
                </c:pt>
                <c:pt idx="28">
                  <c:v>85.809997999999993</c:v>
                </c:pt>
                <c:pt idx="29">
                  <c:v>86.230002999999996</c:v>
                </c:pt>
                <c:pt idx="30">
                  <c:v>85.379997000000003</c:v>
                </c:pt>
                <c:pt idx="31">
                  <c:v>86.849997999999999</c:v>
                </c:pt>
                <c:pt idx="32">
                  <c:v>89.279999000000004</c:v>
                </c:pt>
                <c:pt idx="33">
                  <c:v>90.489998</c:v>
                </c:pt>
                <c:pt idx="34">
                  <c:v>89.879997000000003</c:v>
                </c:pt>
                <c:pt idx="35">
                  <c:v>90.940002000000007</c:v>
                </c:pt>
                <c:pt idx="36">
                  <c:v>89.669998000000007</c:v>
                </c:pt>
                <c:pt idx="37">
                  <c:v>90.489998</c:v>
                </c:pt>
                <c:pt idx="38">
                  <c:v>88.739998</c:v>
                </c:pt>
                <c:pt idx="39">
                  <c:v>88.449996999999996</c:v>
                </c:pt>
                <c:pt idx="40">
                  <c:v>86.269997000000004</c:v>
                </c:pt>
                <c:pt idx="41">
                  <c:v>83.830001999999993</c:v>
                </c:pt>
                <c:pt idx="42">
                  <c:v>88.610000999999997</c:v>
                </c:pt>
                <c:pt idx="43">
                  <c:v>91.379997000000003</c:v>
                </c:pt>
                <c:pt idx="44">
                  <c:v>90</c:v>
                </c:pt>
                <c:pt idx="45">
                  <c:v>90.800003000000004</c:v>
                </c:pt>
                <c:pt idx="46">
                  <c:v>88.959998999999996</c:v>
                </c:pt>
                <c:pt idx="47">
                  <c:v>92.510002</c:v>
                </c:pt>
                <c:pt idx="48">
                  <c:v>93.760002</c:v>
                </c:pt>
                <c:pt idx="49">
                  <c:v>91.489998</c:v>
                </c:pt>
                <c:pt idx="50">
                  <c:v>92.889999000000003</c:v>
                </c:pt>
                <c:pt idx="51">
                  <c:v>95.029999000000004</c:v>
                </c:pt>
                <c:pt idx="52">
                  <c:v>93.75</c:v>
                </c:pt>
                <c:pt idx="53">
                  <c:v>94.25</c:v>
                </c:pt>
                <c:pt idx="54">
                  <c:v>95.18</c:v>
                </c:pt>
                <c:pt idx="55">
                  <c:v>94.720000999999996</c:v>
                </c:pt>
                <c:pt idx="56">
                  <c:v>90.959998999999996</c:v>
                </c:pt>
                <c:pt idx="57">
                  <c:v>102.019997</c:v>
                </c:pt>
                <c:pt idx="58">
                  <c:v>104.16999800000001</c:v>
                </c:pt>
                <c:pt idx="59">
                  <c:v>104.550003</c:v>
                </c:pt>
                <c:pt idx="60">
                  <c:v>104.08000199999999</c:v>
                </c:pt>
                <c:pt idx="61">
                  <c:v>103.82</c:v>
                </c:pt>
                <c:pt idx="62">
                  <c:v>106.44000200000001</c:v>
                </c:pt>
                <c:pt idx="63">
                  <c:v>108.43</c:v>
                </c:pt>
                <c:pt idx="64">
                  <c:v>105.480003</c:v>
                </c:pt>
                <c:pt idx="65">
                  <c:v>106</c:v>
                </c:pt>
                <c:pt idx="66">
                  <c:v>106.949997</c:v>
                </c:pt>
                <c:pt idx="67">
                  <c:v>106.69000200000001</c:v>
                </c:pt>
                <c:pt idx="68">
                  <c:v>109.529999</c:v>
                </c:pt>
                <c:pt idx="69">
                  <c:v>110.519997</c:v>
                </c:pt>
                <c:pt idx="70">
                  <c:v>110.110001</c:v>
                </c:pt>
                <c:pt idx="71">
                  <c:v>110.300003</c:v>
                </c:pt>
                <c:pt idx="72">
                  <c:v>110.260002</c:v>
                </c:pt>
                <c:pt idx="73">
                  <c:v>110.370003</c:v>
                </c:pt>
                <c:pt idx="74">
                  <c:v>110.300003</c:v>
                </c:pt>
                <c:pt idx="75">
                  <c:v>109.949997</c:v>
                </c:pt>
                <c:pt idx="76">
                  <c:v>112.620003</c:v>
                </c:pt>
                <c:pt idx="77">
                  <c:v>114.989998</c:v>
                </c:pt>
                <c:pt idx="78">
                  <c:v>114.970001</c:v>
                </c:pt>
                <c:pt idx="79">
                  <c:v>116.44000200000001</c:v>
                </c:pt>
                <c:pt idx="80">
                  <c:v>118.860001</c:v>
                </c:pt>
                <c:pt idx="81">
                  <c:v>118.910004</c:v>
                </c:pt>
                <c:pt idx="82">
                  <c:v>120</c:v>
                </c:pt>
                <c:pt idx="83">
                  <c:v>109.349998</c:v>
                </c:pt>
                <c:pt idx="84">
                  <c:v>107.160004</c:v>
                </c:pt>
                <c:pt idx="85">
                  <c:v>98.839995999999999</c:v>
                </c:pt>
                <c:pt idx="86">
                  <c:v>102.480003</c:v>
                </c:pt>
                <c:pt idx="87">
                  <c:v>100.970001</c:v>
                </c:pt>
                <c:pt idx="88">
                  <c:v>104.480003</c:v>
                </c:pt>
                <c:pt idx="89">
                  <c:v>102.839996</c:v>
                </c:pt>
                <c:pt idx="90">
                  <c:v>100.300003</c:v>
                </c:pt>
                <c:pt idx="91">
                  <c:v>103</c:v>
                </c:pt>
                <c:pt idx="92">
                  <c:v>105.55999799999999</c:v>
                </c:pt>
                <c:pt idx="93">
                  <c:v>108.239998</c:v>
                </c:pt>
                <c:pt idx="94">
                  <c:v>113.089996</c:v>
                </c:pt>
                <c:pt idx="95">
                  <c:v>113.739998</c:v>
                </c:pt>
                <c:pt idx="96">
                  <c:v>115.66999800000001</c:v>
                </c:pt>
                <c:pt idx="97">
                  <c:v>114.839996</c:v>
                </c:pt>
                <c:pt idx="98">
                  <c:v>120.07</c:v>
                </c:pt>
                <c:pt idx="99">
                  <c:v>115.129997</c:v>
                </c:pt>
                <c:pt idx="100">
                  <c:v>114.239998</c:v>
                </c:pt>
                <c:pt idx="101">
                  <c:v>108.040001</c:v>
                </c:pt>
                <c:pt idx="102">
                  <c:v>107.720001</c:v>
                </c:pt>
                <c:pt idx="103">
                  <c:v>105.860001</c:v>
                </c:pt>
                <c:pt idx="104">
                  <c:v>105.08000199999999</c:v>
                </c:pt>
                <c:pt idx="105">
                  <c:v>99.25</c:v>
                </c:pt>
                <c:pt idx="106">
                  <c:v>93.900002000000001</c:v>
                </c:pt>
                <c:pt idx="107">
                  <c:v>96.900002000000001</c:v>
                </c:pt>
                <c:pt idx="108">
                  <c:v>95.82</c:v>
                </c:pt>
                <c:pt idx="109">
                  <c:v>93.900002000000001</c:v>
                </c:pt>
                <c:pt idx="110">
                  <c:v>91.150002000000001</c:v>
                </c:pt>
                <c:pt idx="111">
                  <c:v>95.010002</c:v>
                </c:pt>
                <c:pt idx="112">
                  <c:v>95.309997999999993</c:v>
                </c:pt>
                <c:pt idx="113">
                  <c:v>98.480002999999996</c:v>
                </c:pt>
                <c:pt idx="114">
                  <c:v>97.940002000000007</c:v>
                </c:pt>
                <c:pt idx="115">
                  <c:v>99.199996999999996</c:v>
                </c:pt>
                <c:pt idx="116">
                  <c:v>97.220000999999996</c:v>
                </c:pt>
                <c:pt idx="117">
                  <c:v>99.07</c:v>
                </c:pt>
                <c:pt idx="118">
                  <c:v>96.419998000000007</c:v>
                </c:pt>
                <c:pt idx="119">
                  <c:v>98.589995999999999</c:v>
                </c:pt>
                <c:pt idx="120">
                  <c:v>103.769997</c:v>
                </c:pt>
                <c:pt idx="121">
                  <c:v>103.260002</c:v>
                </c:pt>
                <c:pt idx="122">
                  <c:v>105.540001</c:v>
                </c:pt>
                <c:pt idx="123">
                  <c:v>100.519997</c:v>
                </c:pt>
                <c:pt idx="124">
                  <c:v>99.779999000000004</c:v>
                </c:pt>
                <c:pt idx="125">
                  <c:v>100.290001</c:v>
                </c:pt>
                <c:pt idx="126">
                  <c:v>98.75</c:v>
                </c:pt>
                <c:pt idx="127">
                  <c:v>97.339995999999999</c:v>
                </c:pt>
                <c:pt idx="128">
                  <c:v>99</c:v>
                </c:pt>
                <c:pt idx="129">
                  <c:v>95.720000999999996</c:v>
                </c:pt>
                <c:pt idx="130">
                  <c:v>98.029999000000004</c:v>
                </c:pt>
                <c:pt idx="131">
                  <c:v>99.620002999999997</c:v>
                </c:pt>
                <c:pt idx="132">
                  <c:v>99.800003000000004</c:v>
                </c:pt>
                <c:pt idx="133">
                  <c:v>97.709998999999996</c:v>
                </c:pt>
                <c:pt idx="134">
                  <c:v>95.949996999999996</c:v>
                </c:pt>
                <c:pt idx="135">
                  <c:v>95.830001999999993</c:v>
                </c:pt>
                <c:pt idx="136">
                  <c:v>96.839995999999999</c:v>
                </c:pt>
                <c:pt idx="137">
                  <c:v>96.389999000000003</c:v>
                </c:pt>
                <c:pt idx="138">
                  <c:v>95.209998999999996</c:v>
                </c:pt>
                <c:pt idx="139">
                  <c:v>94.419998000000007</c:v>
                </c:pt>
                <c:pt idx="140">
                  <c:v>92.419998000000007</c:v>
                </c:pt>
                <c:pt idx="141">
                  <c:v>92.559997999999993</c:v>
                </c:pt>
                <c:pt idx="142">
                  <c:v>93.269997000000004</c:v>
                </c:pt>
                <c:pt idx="143">
                  <c:v>92.860000999999997</c:v>
                </c:pt>
                <c:pt idx="144">
                  <c:v>92.489998</c:v>
                </c:pt>
                <c:pt idx="145">
                  <c:v>91.300003000000004</c:v>
                </c:pt>
                <c:pt idx="146">
                  <c:v>93.029999000000004</c:v>
                </c:pt>
                <c:pt idx="147">
                  <c:v>93.849997999999999</c:v>
                </c:pt>
                <c:pt idx="148">
                  <c:v>92.449996999999996</c:v>
                </c:pt>
                <c:pt idx="149">
                  <c:v>97.68</c:v>
                </c:pt>
                <c:pt idx="150">
                  <c:v>98.239998</c:v>
                </c:pt>
                <c:pt idx="151">
                  <c:v>98.82</c:v>
                </c:pt>
                <c:pt idx="152">
                  <c:v>98.5</c:v>
                </c:pt>
                <c:pt idx="153">
                  <c:v>104.860001</c:v>
                </c:pt>
                <c:pt idx="154">
                  <c:v>103.910004</c:v>
                </c:pt>
                <c:pt idx="155">
                  <c:v>105.150002</c:v>
                </c:pt>
                <c:pt idx="156">
                  <c:v>104.220001</c:v>
                </c:pt>
                <c:pt idx="157">
                  <c:v>108.980003</c:v>
                </c:pt>
                <c:pt idx="158">
                  <c:v>108.05999799999999</c:v>
                </c:pt>
                <c:pt idx="159">
                  <c:v>107.660004</c:v>
                </c:pt>
                <c:pt idx="160">
                  <c:v>109.300003</c:v>
                </c:pt>
                <c:pt idx="161">
                  <c:v>110.300003</c:v>
                </c:pt>
                <c:pt idx="162">
                  <c:v>109.260002</c:v>
                </c:pt>
                <c:pt idx="163">
                  <c:v>110.05999799999999</c:v>
                </c:pt>
                <c:pt idx="164">
                  <c:v>110.32</c:v>
                </c:pt>
                <c:pt idx="165">
                  <c:v>111.239998</c:v>
                </c:pt>
                <c:pt idx="166">
                  <c:v>110.91999800000001</c:v>
                </c:pt>
                <c:pt idx="167">
                  <c:v>111.760002</c:v>
                </c:pt>
                <c:pt idx="168">
                  <c:v>112.139999</c:v>
                </c:pt>
                <c:pt idx="169">
                  <c:v>113.389999</c:v>
                </c:pt>
                <c:pt idx="170">
                  <c:v>112.58000199999999</c:v>
                </c:pt>
                <c:pt idx="171">
                  <c:v>113.199997</c:v>
                </c:pt>
                <c:pt idx="172">
                  <c:v>114.44000200000001</c:v>
                </c:pt>
                <c:pt idx="173">
                  <c:v>115.599998</c:v>
                </c:pt>
                <c:pt idx="174">
                  <c:v>111.989998</c:v>
                </c:pt>
                <c:pt idx="175">
                  <c:v>109.69000200000001</c:v>
                </c:pt>
                <c:pt idx="176">
                  <c:v>107.519997</c:v>
                </c:pt>
                <c:pt idx="177">
                  <c:v>108.410004</c:v>
                </c:pt>
                <c:pt idx="178">
                  <c:v>107.18</c:v>
                </c:pt>
                <c:pt idx="179">
                  <c:v>105.620003</c:v>
                </c:pt>
                <c:pt idx="180">
                  <c:v>105.510002</c:v>
                </c:pt>
                <c:pt idx="181">
                  <c:v>104.360001</c:v>
                </c:pt>
                <c:pt idx="182">
                  <c:v>106.25</c:v>
                </c:pt>
                <c:pt idx="183">
                  <c:v>103.32</c:v>
                </c:pt>
                <c:pt idx="184">
                  <c:v>105.089996</c:v>
                </c:pt>
                <c:pt idx="185">
                  <c:v>107.089996</c:v>
                </c:pt>
                <c:pt idx="186">
                  <c:v>109.959999</c:v>
                </c:pt>
                <c:pt idx="187">
                  <c:v>107.69000200000001</c:v>
                </c:pt>
                <c:pt idx="188">
                  <c:v>101.989998</c:v>
                </c:pt>
                <c:pt idx="189">
                  <c:v>100.699997</c:v>
                </c:pt>
                <c:pt idx="190">
                  <c:v>102.410004</c:v>
                </c:pt>
                <c:pt idx="191">
                  <c:v>101.5</c:v>
                </c:pt>
                <c:pt idx="192">
                  <c:v>97.07</c:v>
                </c:pt>
                <c:pt idx="193">
                  <c:v>98.519997000000004</c:v>
                </c:pt>
                <c:pt idx="194">
                  <c:v>98.599997999999999</c:v>
                </c:pt>
                <c:pt idx="195">
                  <c:v>98.57</c:v>
                </c:pt>
                <c:pt idx="196">
                  <c:v>100.07</c:v>
                </c:pt>
                <c:pt idx="197">
                  <c:v>97.379997000000003</c:v>
                </c:pt>
                <c:pt idx="198">
                  <c:v>99.400002000000001</c:v>
                </c:pt>
                <c:pt idx="199">
                  <c:v>98.309997999999993</c:v>
                </c:pt>
                <c:pt idx="200">
                  <c:v>98.639999000000003</c:v>
                </c:pt>
                <c:pt idx="201">
                  <c:v>104.779999</c:v>
                </c:pt>
                <c:pt idx="202">
                  <c:v>103.44000200000001</c:v>
                </c:pt>
                <c:pt idx="203">
                  <c:v>102.639999</c:v>
                </c:pt>
                <c:pt idx="204">
                  <c:v>105.25</c:v>
                </c:pt>
                <c:pt idx="205">
                  <c:v>104.230003</c:v>
                </c:pt>
                <c:pt idx="206">
                  <c:v>111.269997</c:v>
                </c:pt>
                <c:pt idx="207">
                  <c:v>108.66999800000001</c:v>
                </c:pt>
                <c:pt idx="208">
                  <c:v>107.510002</c:v>
                </c:pt>
                <c:pt idx="209">
                  <c:v>111.620003</c:v>
                </c:pt>
                <c:pt idx="210">
                  <c:v>112.470001</c:v>
                </c:pt>
                <c:pt idx="211">
                  <c:v>110.589996</c:v>
                </c:pt>
                <c:pt idx="212">
                  <c:v>112.19000200000001</c:v>
                </c:pt>
                <c:pt idx="213">
                  <c:v>108.699997</c:v>
                </c:pt>
                <c:pt idx="214">
                  <c:v>103.089996</c:v>
                </c:pt>
                <c:pt idx="215">
                  <c:v>106.529999</c:v>
                </c:pt>
                <c:pt idx="216">
                  <c:v>107.25</c:v>
                </c:pt>
                <c:pt idx="217">
                  <c:v>102.989998</c:v>
                </c:pt>
                <c:pt idx="218">
                  <c:v>104.730003</c:v>
                </c:pt>
                <c:pt idx="219">
                  <c:v>102.870003</c:v>
                </c:pt>
                <c:pt idx="220">
                  <c:v>98.540001000000004</c:v>
                </c:pt>
                <c:pt idx="221">
                  <c:v>100.44000200000001</c:v>
                </c:pt>
                <c:pt idx="222">
                  <c:v>100.349998</c:v>
                </c:pt>
                <c:pt idx="223">
                  <c:v>100.349998</c:v>
                </c:pt>
                <c:pt idx="224">
                  <c:v>100.239998</c:v>
                </c:pt>
                <c:pt idx="225">
                  <c:v>99.230002999999996</c:v>
                </c:pt>
                <c:pt idx="226">
                  <c:v>101.150002</c:v>
                </c:pt>
                <c:pt idx="227">
                  <c:v>102.07</c:v>
                </c:pt>
                <c:pt idx="228">
                  <c:v>103.93</c:v>
                </c:pt>
                <c:pt idx="229">
                  <c:v>102.199997</c:v>
                </c:pt>
                <c:pt idx="230">
                  <c:v>99.360000999999997</c:v>
                </c:pt>
                <c:pt idx="231">
                  <c:v>103.980003</c:v>
                </c:pt>
                <c:pt idx="232">
                  <c:v>108.849998</c:v>
                </c:pt>
                <c:pt idx="233">
                  <c:v>106.339996</c:v>
                </c:pt>
                <c:pt idx="234">
                  <c:v>104.80999799999999</c:v>
                </c:pt>
                <c:pt idx="235">
                  <c:v>104.779999</c:v>
                </c:pt>
                <c:pt idx="236">
                  <c:v>110</c:v>
                </c:pt>
                <c:pt idx="237">
                  <c:v>111.480003</c:v>
                </c:pt>
                <c:pt idx="238">
                  <c:v>112.620003</c:v>
                </c:pt>
                <c:pt idx="239">
                  <c:v>114.089996</c:v>
                </c:pt>
                <c:pt idx="240">
                  <c:v>112.68</c:v>
                </c:pt>
                <c:pt idx="241">
                  <c:v>112.480003</c:v>
                </c:pt>
                <c:pt idx="242">
                  <c:v>111.93</c:v>
                </c:pt>
                <c:pt idx="243">
                  <c:v>112.019997</c:v>
                </c:pt>
                <c:pt idx="244">
                  <c:v>110.970001</c:v>
                </c:pt>
                <c:pt idx="245">
                  <c:v>109.260002</c:v>
                </c:pt>
                <c:pt idx="246">
                  <c:v>110.400002</c:v>
                </c:pt>
                <c:pt idx="247">
                  <c:v>116.94000200000001</c:v>
                </c:pt>
                <c:pt idx="248">
                  <c:v>114.779999</c:v>
                </c:pt>
                <c:pt idx="249">
                  <c:v>112.610001</c:v>
                </c:pt>
                <c:pt idx="250">
                  <c:v>118.900002</c:v>
                </c:pt>
                <c:pt idx="251">
                  <c:v>113.19000200000001</c:v>
                </c:pt>
                <c:pt idx="252">
                  <c:v>115.18</c:v>
                </c:pt>
                <c:pt idx="253">
                  <c:v>118</c:v>
                </c:pt>
                <c:pt idx="254">
                  <c:v>116.19000200000001</c:v>
                </c:pt>
                <c:pt idx="255">
                  <c:v>112.08000199999999</c:v>
                </c:pt>
                <c:pt idx="256">
                  <c:v>115.489998</c:v>
                </c:pt>
                <c:pt idx="257">
                  <c:v>111.980003</c:v>
                </c:pt>
                <c:pt idx="258">
                  <c:v>112.199997</c:v>
                </c:pt>
                <c:pt idx="259">
                  <c:v>104.220001</c:v>
                </c:pt>
                <c:pt idx="260">
                  <c:v>107.300003</c:v>
                </c:pt>
                <c:pt idx="261">
                  <c:v>109.650002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5B-431E-8C15-87A765A54E68}"/>
            </c:ext>
          </c:extLst>
        </c:ser>
        <c:ser>
          <c:idx val="2"/>
          <c:order val="2"/>
          <c:tx>
            <c:strRef>
              <c:f>'Part 2'!$G$1</c:f>
              <c:strCache>
                <c:ptCount val="1"/>
                <c:pt idx="0">
                  <c:v>TGT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'Part 2'!$G$2:$G$263</c:f>
              <c:numCache>
                <c:formatCode>"$"#,##0.0000</c:formatCode>
                <c:ptCount val="262"/>
                <c:pt idx="0">
                  <c:v>63.490001999999997</c:v>
                </c:pt>
                <c:pt idx="1">
                  <c:v>62.619999</c:v>
                </c:pt>
                <c:pt idx="2">
                  <c:v>60.240001999999997</c:v>
                </c:pt>
                <c:pt idx="3">
                  <c:v>57.720001000000003</c:v>
                </c:pt>
                <c:pt idx="4">
                  <c:v>56.639999000000003</c:v>
                </c:pt>
                <c:pt idx="5">
                  <c:v>56.330002</c:v>
                </c:pt>
                <c:pt idx="6">
                  <c:v>56.060001</c:v>
                </c:pt>
                <c:pt idx="7">
                  <c:v>56.240001999999997</c:v>
                </c:pt>
                <c:pt idx="8">
                  <c:v>62.540000999999997</c:v>
                </c:pt>
                <c:pt idx="9">
                  <c:v>60.75</c:v>
                </c:pt>
                <c:pt idx="10">
                  <c:v>59.360000999999997</c:v>
                </c:pt>
                <c:pt idx="11">
                  <c:v>59.450001</c:v>
                </c:pt>
                <c:pt idx="12">
                  <c:v>59.98</c:v>
                </c:pt>
                <c:pt idx="13">
                  <c:v>61.139999000000003</c:v>
                </c:pt>
                <c:pt idx="14">
                  <c:v>58.900002000000001</c:v>
                </c:pt>
                <c:pt idx="15">
                  <c:v>60</c:v>
                </c:pt>
                <c:pt idx="16">
                  <c:v>61.259998000000003</c:v>
                </c:pt>
                <c:pt idx="17">
                  <c:v>62.009998000000003</c:v>
                </c:pt>
                <c:pt idx="18">
                  <c:v>59.130001</c:v>
                </c:pt>
                <c:pt idx="19">
                  <c:v>58.639999000000003</c:v>
                </c:pt>
                <c:pt idx="20">
                  <c:v>55.689999</c:v>
                </c:pt>
                <c:pt idx="21">
                  <c:v>56.759998000000003</c:v>
                </c:pt>
                <c:pt idx="22">
                  <c:v>57.68</c:v>
                </c:pt>
                <c:pt idx="23">
                  <c:v>57.23</c:v>
                </c:pt>
                <c:pt idx="24">
                  <c:v>58.290000999999997</c:v>
                </c:pt>
                <c:pt idx="25">
                  <c:v>58.119999</c:v>
                </c:pt>
                <c:pt idx="26">
                  <c:v>59.509998000000003</c:v>
                </c:pt>
                <c:pt idx="27">
                  <c:v>60</c:v>
                </c:pt>
                <c:pt idx="28">
                  <c:v>60.009998000000003</c:v>
                </c:pt>
                <c:pt idx="29">
                  <c:v>60.389999000000003</c:v>
                </c:pt>
                <c:pt idx="30">
                  <c:v>59.849997999999999</c:v>
                </c:pt>
                <c:pt idx="31">
                  <c:v>58.540000999999997</c:v>
                </c:pt>
                <c:pt idx="32">
                  <c:v>58.200001</c:v>
                </c:pt>
                <c:pt idx="33">
                  <c:v>61.049999</c:v>
                </c:pt>
                <c:pt idx="34">
                  <c:v>60.07</c:v>
                </c:pt>
                <c:pt idx="35">
                  <c:v>61.080002</c:v>
                </c:pt>
                <c:pt idx="36">
                  <c:v>62.529998999999997</c:v>
                </c:pt>
                <c:pt idx="37">
                  <c:v>63.810001</c:v>
                </c:pt>
                <c:pt idx="38">
                  <c:v>63.150002000000001</c:v>
                </c:pt>
                <c:pt idx="39">
                  <c:v>63.07</c:v>
                </c:pt>
                <c:pt idx="40">
                  <c:v>60.59</c:v>
                </c:pt>
                <c:pt idx="41">
                  <c:v>59.07</c:v>
                </c:pt>
                <c:pt idx="42">
                  <c:v>61.57</c:v>
                </c:pt>
                <c:pt idx="43">
                  <c:v>61.82</c:v>
                </c:pt>
                <c:pt idx="44">
                  <c:v>64.169998000000007</c:v>
                </c:pt>
                <c:pt idx="45">
                  <c:v>68.129997000000003</c:v>
                </c:pt>
                <c:pt idx="46">
                  <c:v>71.510002</c:v>
                </c:pt>
                <c:pt idx="47">
                  <c:v>74</c:v>
                </c:pt>
                <c:pt idx="48">
                  <c:v>73.660004000000001</c:v>
                </c:pt>
                <c:pt idx="49">
                  <c:v>72.400002000000001</c:v>
                </c:pt>
                <c:pt idx="50">
                  <c:v>73.949996999999996</c:v>
                </c:pt>
                <c:pt idx="51">
                  <c:v>75.059997999999993</c:v>
                </c:pt>
                <c:pt idx="52">
                  <c:v>75.330001999999993</c:v>
                </c:pt>
                <c:pt idx="53">
                  <c:v>76.430000000000007</c:v>
                </c:pt>
                <c:pt idx="54">
                  <c:v>74.940002000000007</c:v>
                </c:pt>
                <c:pt idx="55">
                  <c:v>75.290001000000004</c:v>
                </c:pt>
                <c:pt idx="56">
                  <c:v>73.610000999999997</c:v>
                </c:pt>
                <c:pt idx="57">
                  <c:v>76.360000999999997</c:v>
                </c:pt>
                <c:pt idx="58">
                  <c:v>76.120002999999997</c:v>
                </c:pt>
                <c:pt idx="59">
                  <c:v>76.870002999999997</c:v>
                </c:pt>
                <c:pt idx="60">
                  <c:v>76.830001999999993</c:v>
                </c:pt>
                <c:pt idx="61">
                  <c:v>77.209998999999996</c:v>
                </c:pt>
                <c:pt idx="62">
                  <c:v>79.180000000000007</c:v>
                </c:pt>
                <c:pt idx="63">
                  <c:v>81.309997999999993</c:v>
                </c:pt>
                <c:pt idx="64">
                  <c:v>81.559997999999993</c:v>
                </c:pt>
                <c:pt idx="65">
                  <c:v>82.669998000000007</c:v>
                </c:pt>
                <c:pt idx="66">
                  <c:v>83.57</c:v>
                </c:pt>
                <c:pt idx="67">
                  <c:v>80.019997000000004</c:v>
                </c:pt>
                <c:pt idx="68">
                  <c:v>82.699996999999996</c:v>
                </c:pt>
                <c:pt idx="69">
                  <c:v>79.650002000000001</c:v>
                </c:pt>
                <c:pt idx="70">
                  <c:v>80.739998</c:v>
                </c:pt>
                <c:pt idx="71">
                  <c:v>78.529999000000004</c:v>
                </c:pt>
                <c:pt idx="72">
                  <c:v>79.290001000000004</c:v>
                </c:pt>
                <c:pt idx="73">
                  <c:v>79.319999999999993</c:v>
                </c:pt>
                <c:pt idx="74">
                  <c:v>79.199996999999996</c:v>
                </c:pt>
                <c:pt idx="75">
                  <c:v>79.470000999999996</c:v>
                </c:pt>
                <c:pt idx="76">
                  <c:v>83.349997999999999</c:v>
                </c:pt>
                <c:pt idx="77">
                  <c:v>84.080001999999993</c:v>
                </c:pt>
                <c:pt idx="78">
                  <c:v>82.269997000000004</c:v>
                </c:pt>
                <c:pt idx="79">
                  <c:v>83.910004000000001</c:v>
                </c:pt>
                <c:pt idx="80">
                  <c:v>84.690002000000007</c:v>
                </c:pt>
                <c:pt idx="81">
                  <c:v>80.209998999999996</c:v>
                </c:pt>
                <c:pt idx="82">
                  <c:v>81.849997999999999</c:v>
                </c:pt>
                <c:pt idx="83">
                  <c:v>78.980002999999996</c:v>
                </c:pt>
                <c:pt idx="84">
                  <c:v>79.349997999999999</c:v>
                </c:pt>
                <c:pt idx="85">
                  <c:v>78.400002000000001</c:v>
                </c:pt>
                <c:pt idx="86">
                  <c:v>78.029999000000004</c:v>
                </c:pt>
                <c:pt idx="87">
                  <c:v>76.419998000000007</c:v>
                </c:pt>
                <c:pt idx="88">
                  <c:v>77.879997000000003</c:v>
                </c:pt>
                <c:pt idx="89">
                  <c:v>76.620002999999997</c:v>
                </c:pt>
                <c:pt idx="90">
                  <c:v>79.050003000000004</c:v>
                </c:pt>
                <c:pt idx="91">
                  <c:v>79.529999000000004</c:v>
                </c:pt>
                <c:pt idx="92">
                  <c:v>78.879997000000003</c:v>
                </c:pt>
                <c:pt idx="93">
                  <c:v>75.050003000000004</c:v>
                </c:pt>
                <c:pt idx="94">
                  <c:v>72.940002000000007</c:v>
                </c:pt>
                <c:pt idx="95">
                  <c:v>77.180000000000007</c:v>
                </c:pt>
                <c:pt idx="96">
                  <c:v>77.220000999999996</c:v>
                </c:pt>
                <c:pt idx="97">
                  <c:v>71.889999000000003</c:v>
                </c:pt>
                <c:pt idx="98">
                  <c:v>70.830001999999993</c:v>
                </c:pt>
                <c:pt idx="99">
                  <c:v>73.440002000000007</c:v>
                </c:pt>
                <c:pt idx="100">
                  <c:v>73.900002000000001</c:v>
                </c:pt>
                <c:pt idx="101">
                  <c:v>71.839995999999999</c:v>
                </c:pt>
                <c:pt idx="102">
                  <c:v>71.370002999999997</c:v>
                </c:pt>
                <c:pt idx="103">
                  <c:v>73.169998000000007</c:v>
                </c:pt>
                <c:pt idx="104">
                  <c:v>72.610000999999997</c:v>
                </c:pt>
                <c:pt idx="105">
                  <c:v>71.379997000000003</c:v>
                </c:pt>
                <c:pt idx="106">
                  <c:v>70.080001999999993</c:v>
                </c:pt>
                <c:pt idx="107">
                  <c:v>69.720000999999996</c:v>
                </c:pt>
                <c:pt idx="108">
                  <c:v>72.419998000000007</c:v>
                </c:pt>
                <c:pt idx="109">
                  <c:v>69.559997999999993</c:v>
                </c:pt>
                <c:pt idx="110">
                  <c:v>69.949996999999996</c:v>
                </c:pt>
                <c:pt idx="111">
                  <c:v>72.319999999999993</c:v>
                </c:pt>
                <c:pt idx="112">
                  <c:v>78.430000000000007</c:v>
                </c:pt>
                <c:pt idx="113">
                  <c:v>81.129997000000003</c:v>
                </c:pt>
                <c:pt idx="114">
                  <c:v>81.870002999999997</c:v>
                </c:pt>
                <c:pt idx="115">
                  <c:v>82.709998999999996</c:v>
                </c:pt>
                <c:pt idx="116">
                  <c:v>82.040001000000004</c:v>
                </c:pt>
                <c:pt idx="117">
                  <c:v>82.760002</c:v>
                </c:pt>
                <c:pt idx="118">
                  <c:v>80.879997000000003</c:v>
                </c:pt>
                <c:pt idx="119">
                  <c:v>82.599997999999999</c:v>
                </c:pt>
                <c:pt idx="120">
                  <c:v>82.330001999999993</c:v>
                </c:pt>
                <c:pt idx="121">
                  <c:v>79.5</c:v>
                </c:pt>
                <c:pt idx="122">
                  <c:v>78.739998</c:v>
                </c:pt>
                <c:pt idx="123">
                  <c:v>73.879997000000003</c:v>
                </c:pt>
                <c:pt idx="124">
                  <c:v>68.660004000000001</c:v>
                </c:pt>
                <c:pt idx="125">
                  <c:v>68.900002000000001</c:v>
                </c:pt>
                <c:pt idx="126">
                  <c:v>68.650002000000001</c:v>
                </c:pt>
                <c:pt idx="127">
                  <c:v>67.879997000000003</c:v>
                </c:pt>
                <c:pt idx="128">
                  <c:v>67.5</c:v>
                </c:pt>
                <c:pt idx="129">
                  <c:v>69.349997999999999</c:v>
                </c:pt>
                <c:pt idx="130">
                  <c:v>70.050003000000004</c:v>
                </c:pt>
                <c:pt idx="131">
                  <c:v>71.309997999999993</c:v>
                </c:pt>
                <c:pt idx="132">
                  <c:v>73.040001000000004</c:v>
                </c:pt>
                <c:pt idx="133">
                  <c:v>74.919998000000007</c:v>
                </c:pt>
                <c:pt idx="134">
                  <c:v>75.330001999999993</c:v>
                </c:pt>
                <c:pt idx="135">
                  <c:v>74.940002000000007</c:v>
                </c:pt>
                <c:pt idx="136">
                  <c:v>75.809997999999993</c:v>
                </c:pt>
                <c:pt idx="137">
                  <c:v>70.120002999999997</c:v>
                </c:pt>
                <c:pt idx="138">
                  <c:v>70.349997999999999</c:v>
                </c:pt>
                <c:pt idx="139">
                  <c:v>70.809997999999993</c:v>
                </c:pt>
                <c:pt idx="140">
                  <c:v>69</c:v>
                </c:pt>
                <c:pt idx="141">
                  <c:v>69.230002999999996</c:v>
                </c:pt>
                <c:pt idx="142">
                  <c:v>68.769997000000004</c:v>
                </c:pt>
                <c:pt idx="143">
                  <c:v>68.680000000000007</c:v>
                </c:pt>
                <c:pt idx="144">
                  <c:v>69.040001000000004</c:v>
                </c:pt>
                <c:pt idx="145">
                  <c:v>68.110000999999997</c:v>
                </c:pt>
                <c:pt idx="146">
                  <c:v>68.230002999999996</c:v>
                </c:pt>
                <c:pt idx="147">
                  <c:v>68.830001999999993</c:v>
                </c:pt>
                <c:pt idx="148">
                  <c:v>66.529999000000004</c:v>
                </c:pt>
                <c:pt idx="149">
                  <c:v>71.349997999999999</c:v>
                </c:pt>
                <c:pt idx="150">
                  <c:v>76.190002000000007</c:v>
                </c:pt>
                <c:pt idx="151">
                  <c:v>78.610000999999997</c:v>
                </c:pt>
                <c:pt idx="152">
                  <c:v>77.940002000000007</c:v>
                </c:pt>
                <c:pt idx="153">
                  <c:v>77.389999000000003</c:v>
                </c:pt>
                <c:pt idx="154">
                  <c:v>76.75</c:v>
                </c:pt>
                <c:pt idx="155">
                  <c:v>73.5</c:v>
                </c:pt>
                <c:pt idx="156">
                  <c:v>72.230002999999996</c:v>
                </c:pt>
                <c:pt idx="157">
                  <c:v>71.440002000000007</c:v>
                </c:pt>
                <c:pt idx="158">
                  <c:v>70.190002000000007</c:v>
                </c:pt>
                <c:pt idx="159">
                  <c:v>64.099997999999999</c:v>
                </c:pt>
                <c:pt idx="160">
                  <c:v>63.700001</c:v>
                </c:pt>
                <c:pt idx="161">
                  <c:v>63.75</c:v>
                </c:pt>
                <c:pt idx="162">
                  <c:v>65.730002999999996</c:v>
                </c:pt>
                <c:pt idx="163">
                  <c:v>65.790001000000004</c:v>
                </c:pt>
                <c:pt idx="164">
                  <c:v>66.510002</c:v>
                </c:pt>
                <c:pt idx="165">
                  <c:v>57.349997999999999</c:v>
                </c:pt>
                <c:pt idx="166">
                  <c:v>55.360000999999997</c:v>
                </c:pt>
                <c:pt idx="167">
                  <c:v>54.290000999999997</c:v>
                </c:pt>
                <c:pt idx="168">
                  <c:v>53.119999</c:v>
                </c:pt>
                <c:pt idx="169">
                  <c:v>55.189999</c:v>
                </c:pt>
                <c:pt idx="170">
                  <c:v>53.240001999999997</c:v>
                </c:pt>
                <c:pt idx="171">
                  <c:v>53.389999000000003</c:v>
                </c:pt>
                <c:pt idx="172">
                  <c:v>54.779998999999997</c:v>
                </c:pt>
                <c:pt idx="173">
                  <c:v>55.849997999999999</c:v>
                </c:pt>
                <c:pt idx="174">
                  <c:v>57.32</c:v>
                </c:pt>
                <c:pt idx="175">
                  <c:v>55.799999</c:v>
                </c:pt>
                <c:pt idx="176">
                  <c:v>55.990001999999997</c:v>
                </c:pt>
                <c:pt idx="177">
                  <c:v>54.400002000000001</c:v>
                </c:pt>
                <c:pt idx="178">
                  <c:v>55.52</c:v>
                </c:pt>
                <c:pt idx="179">
                  <c:v>56.900002000000001</c:v>
                </c:pt>
                <c:pt idx="180">
                  <c:v>52.610000999999997</c:v>
                </c:pt>
                <c:pt idx="181">
                  <c:v>50.759998000000003</c:v>
                </c:pt>
                <c:pt idx="182">
                  <c:v>52.290000999999997</c:v>
                </c:pt>
                <c:pt idx="183">
                  <c:v>51.07</c:v>
                </c:pt>
                <c:pt idx="184">
                  <c:v>53.23</c:v>
                </c:pt>
                <c:pt idx="185">
                  <c:v>54.84</c:v>
                </c:pt>
                <c:pt idx="186">
                  <c:v>56.110000999999997</c:v>
                </c:pt>
                <c:pt idx="187">
                  <c:v>57.580002</c:v>
                </c:pt>
                <c:pt idx="188">
                  <c:v>55.650002000000001</c:v>
                </c:pt>
                <c:pt idx="189">
                  <c:v>55.650002000000001</c:v>
                </c:pt>
                <c:pt idx="190">
                  <c:v>55.009998000000003</c:v>
                </c:pt>
                <c:pt idx="191">
                  <c:v>56.220001000000003</c:v>
                </c:pt>
                <c:pt idx="192">
                  <c:v>57.27</c:v>
                </c:pt>
                <c:pt idx="193">
                  <c:v>59.959999000000003</c:v>
                </c:pt>
                <c:pt idx="194">
                  <c:v>58.990001999999997</c:v>
                </c:pt>
                <c:pt idx="195">
                  <c:v>59.009998000000003</c:v>
                </c:pt>
                <c:pt idx="196">
                  <c:v>57.119999</c:v>
                </c:pt>
                <c:pt idx="197">
                  <c:v>60.849997999999999</c:v>
                </c:pt>
                <c:pt idx="198">
                  <c:v>61.759998000000003</c:v>
                </c:pt>
                <c:pt idx="199">
                  <c:v>60.259998000000003</c:v>
                </c:pt>
                <c:pt idx="200">
                  <c:v>59.360000999999997</c:v>
                </c:pt>
                <c:pt idx="201">
                  <c:v>61.400002000000001</c:v>
                </c:pt>
                <c:pt idx="202">
                  <c:v>58.139999000000003</c:v>
                </c:pt>
                <c:pt idx="203">
                  <c:v>55.880001</c:v>
                </c:pt>
                <c:pt idx="204">
                  <c:v>59.509998000000003</c:v>
                </c:pt>
                <c:pt idx="205">
                  <c:v>61.369999</c:v>
                </c:pt>
                <c:pt idx="206">
                  <c:v>62.610000999999997</c:v>
                </c:pt>
                <c:pt idx="207">
                  <c:v>65.389999000000003</c:v>
                </c:pt>
                <c:pt idx="208">
                  <c:v>65.25</c:v>
                </c:pt>
                <c:pt idx="209">
                  <c:v>66.550003000000004</c:v>
                </c:pt>
                <c:pt idx="210">
                  <c:v>76.800003000000004</c:v>
                </c:pt>
                <c:pt idx="211">
                  <c:v>78.099997999999999</c:v>
                </c:pt>
                <c:pt idx="212">
                  <c:v>76.949996999999996</c:v>
                </c:pt>
                <c:pt idx="213">
                  <c:v>72.949996999999996</c:v>
                </c:pt>
                <c:pt idx="214">
                  <c:v>72.449996999999996</c:v>
                </c:pt>
                <c:pt idx="215">
                  <c:v>75.699996999999996</c:v>
                </c:pt>
                <c:pt idx="216">
                  <c:v>75.410004000000001</c:v>
                </c:pt>
                <c:pt idx="217">
                  <c:v>75.150002000000001</c:v>
                </c:pt>
                <c:pt idx="218">
                  <c:v>70.489998</c:v>
                </c:pt>
                <c:pt idx="219">
                  <c:v>70.989998</c:v>
                </c:pt>
                <c:pt idx="220">
                  <c:v>67.879997000000003</c:v>
                </c:pt>
                <c:pt idx="221">
                  <c:v>69.430000000000007</c:v>
                </c:pt>
                <c:pt idx="222">
                  <c:v>72.290001000000004</c:v>
                </c:pt>
                <c:pt idx="223">
                  <c:v>71.519997000000004</c:v>
                </c:pt>
                <c:pt idx="224">
                  <c:v>70.319999999999993</c:v>
                </c:pt>
                <c:pt idx="225">
                  <c:v>72.849997999999999</c:v>
                </c:pt>
                <c:pt idx="226">
                  <c:v>71.050003000000004</c:v>
                </c:pt>
                <c:pt idx="227">
                  <c:v>70.25</c:v>
                </c:pt>
                <c:pt idx="228">
                  <c:v>75.940002000000007</c:v>
                </c:pt>
                <c:pt idx="229">
                  <c:v>71.209998999999996</c:v>
                </c:pt>
                <c:pt idx="230">
                  <c:v>72.800003000000004</c:v>
                </c:pt>
                <c:pt idx="231">
                  <c:v>78.019997000000004</c:v>
                </c:pt>
                <c:pt idx="232">
                  <c:v>77.25</c:v>
                </c:pt>
                <c:pt idx="233">
                  <c:v>76.040001000000004</c:v>
                </c:pt>
                <c:pt idx="234">
                  <c:v>76.120002999999997</c:v>
                </c:pt>
                <c:pt idx="235">
                  <c:v>76.790001000000004</c:v>
                </c:pt>
                <c:pt idx="236">
                  <c:v>77.720000999999996</c:v>
                </c:pt>
                <c:pt idx="237">
                  <c:v>77.760002</c:v>
                </c:pt>
                <c:pt idx="238">
                  <c:v>80.129997000000003</c:v>
                </c:pt>
                <c:pt idx="239">
                  <c:v>81.449996999999996</c:v>
                </c:pt>
                <c:pt idx="240">
                  <c:v>82.709998999999996</c:v>
                </c:pt>
                <c:pt idx="241">
                  <c:v>83.040001000000004</c:v>
                </c:pt>
                <c:pt idx="242">
                  <c:v>87.309997999999993</c:v>
                </c:pt>
                <c:pt idx="243">
                  <c:v>87.5</c:v>
                </c:pt>
                <c:pt idx="244">
                  <c:v>88.739998</c:v>
                </c:pt>
                <c:pt idx="245">
                  <c:v>87.940002000000007</c:v>
                </c:pt>
                <c:pt idx="246">
                  <c:v>87.309997999999993</c:v>
                </c:pt>
                <c:pt idx="247">
                  <c:v>88.209998999999996</c:v>
                </c:pt>
                <c:pt idx="248">
                  <c:v>84.519997000000004</c:v>
                </c:pt>
                <c:pt idx="249">
                  <c:v>84.610000999999997</c:v>
                </c:pt>
                <c:pt idx="250">
                  <c:v>82.019997000000004</c:v>
                </c:pt>
                <c:pt idx="251">
                  <c:v>81.940002000000007</c:v>
                </c:pt>
                <c:pt idx="252">
                  <c:v>84.410004000000001</c:v>
                </c:pt>
                <c:pt idx="253">
                  <c:v>86.940002000000007</c:v>
                </c:pt>
                <c:pt idx="254">
                  <c:v>79.680000000000007</c:v>
                </c:pt>
                <c:pt idx="255">
                  <c:v>67.349997999999999</c:v>
                </c:pt>
                <c:pt idx="256">
                  <c:v>70.959998999999996</c:v>
                </c:pt>
                <c:pt idx="257">
                  <c:v>67.809997999999993</c:v>
                </c:pt>
                <c:pt idx="258">
                  <c:v>67.169998000000007</c:v>
                </c:pt>
                <c:pt idx="259">
                  <c:v>61.130001</c:v>
                </c:pt>
                <c:pt idx="260">
                  <c:v>64.959998999999996</c:v>
                </c:pt>
                <c:pt idx="261">
                  <c:v>66.089995999999999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5B-431E-8C15-87A765A54E68}"/>
            </c:ext>
          </c:extLst>
        </c:ser>
        <c:ser>
          <c:idx val="3"/>
          <c:order val="3"/>
          <c:tx>
            <c:strRef>
              <c:f>'Part 2'!$I$1</c:f>
              <c:strCache>
                <c:ptCount val="1"/>
                <c:pt idx="0">
                  <c:v>FIZZ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'Part 2'!$I$2:$I$263</c:f>
              <c:numCache>
                <c:formatCode>"$"#,##0.0000</c:formatCode>
                <c:ptCount val="262"/>
                <c:pt idx="0">
                  <c:v>20.440000999999999</c:v>
                </c:pt>
                <c:pt idx="1">
                  <c:v>21.17</c:v>
                </c:pt>
                <c:pt idx="2">
                  <c:v>21.35</c:v>
                </c:pt>
                <c:pt idx="3">
                  <c:v>21.16</c:v>
                </c:pt>
                <c:pt idx="4">
                  <c:v>20.73</c:v>
                </c:pt>
                <c:pt idx="5">
                  <c:v>19.399999999999999</c:v>
                </c:pt>
                <c:pt idx="6">
                  <c:v>21.950001</c:v>
                </c:pt>
                <c:pt idx="7">
                  <c:v>20.860001</c:v>
                </c:pt>
                <c:pt idx="8">
                  <c:v>21.040001</c:v>
                </c:pt>
                <c:pt idx="9">
                  <c:v>21.74</c:v>
                </c:pt>
                <c:pt idx="10">
                  <c:v>20.940000999999999</c:v>
                </c:pt>
                <c:pt idx="11">
                  <c:v>20.9</c:v>
                </c:pt>
                <c:pt idx="12">
                  <c:v>19.120000999999998</c:v>
                </c:pt>
                <c:pt idx="13">
                  <c:v>20.84</c:v>
                </c:pt>
                <c:pt idx="14">
                  <c:v>19.850000000000001</c:v>
                </c:pt>
                <c:pt idx="15">
                  <c:v>19.719999000000001</c:v>
                </c:pt>
                <c:pt idx="16">
                  <c:v>19.120000999999998</c:v>
                </c:pt>
                <c:pt idx="17">
                  <c:v>19.209999</c:v>
                </c:pt>
                <c:pt idx="18">
                  <c:v>18.389999</c:v>
                </c:pt>
                <c:pt idx="19">
                  <c:v>17.48</c:v>
                </c:pt>
                <c:pt idx="20">
                  <c:v>17.790001</c:v>
                </c:pt>
                <c:pt idx="21">
                  <c:v>18.52</c:v>
                </c:pt>
                <c:pt idx="22">
                  <c:v>18.440000999999999</c:v>
                </c:pt>
                <c:pt idx="23">
                  <c:v>18.760000000000002</c:v>
                </c:pt>
                <c:pt idx="24">
                  <c:v>19.120000999999998</c:v>
                </c:pt>
                <c:pt idx="25">
                  <c:v>19.200001</c:v>
                </c:pt>
                <c:pt idx="26">
                  <c:v>19.59</c:v>
                </c:pt>
                <c:pt idx="27">
                  <c:v>18.809999000000001</c:v>
                </c:pt>
                <c:pt idx="28">
                  <c:v>18.52</c:v>
                </c:pt>
                <c:pt idx="29">
                  <c:v>17.59</c:v>
                </c:pt>
                <c:pt idx="30">
                  <c:v>17.620000999999998</c:v>
                </c:pt>
                <c:pt idx="31">
                  <c:v>18.52</c:v>
                </c:pt>
                <c:pt idx="32">
                  <c:v>18.690000999999999</c:v>
                </c:pt>
                <c:pt idx="33">
                  <c:v>18.5</c:v>
                </c:pt>
                <c:pt idx="34">
                  <c:v>18.329999999999998</c:v>
                </c:pt>
                <c:pt idx="35">
                  <c:v>18.48</c:v>
                </c:pt>
                <c:pt idx="36">
                  <c:v>19.329999999999998</c:v>
                </c:pt>
                <c:pt idx="37">
                  <c:v>19.649999999999999</c:v>
                </c:pt>
                <c:pt idx="38">
                  <c:v>19.700001</c:v>
                </c:pt>
                <c:pt idx="39">
                  <c:v>20.290001</c:v>
                </c:pt>
                <c:pt idx="40">
                  <c:v>22.02</c:v>
                </c:pt>
                <c:pt idx="41">
                  <c:v>22.209999</c:v>
                </c:pt>
                <c:pt idx="42">
                  <c:v>24.75</c:v>
                </c:pt>
                <c:pt idx="43">
                  <c:v>25.120000999999998</c:v>
                </c:pt>
                <c:pt idx="44">
                  <c:v>24.549999</c:v>
                </c:pt>
                <c:pt idx="45">
                  <c:v>26.290001</c:v>
                </c:pt>
                <c:pt idx="46">
                  <c:v>25.549999</c:v>
                </c:pt>
                <c:pt idx="47">
                  <c:v>25.139999</c:v>
                </c:pt>
                <c:pt idx="48">
                  <c:v>24.67</c:v>
                </c:pt>
                <c:pt idx="49">
                  <c:v>23.83</c:v>
                </c:pt>
                <c:pt idx="50">
                  <c:v>23.049999</c:v>
                </c:pt>
                <c:pt idx="51">
                  <c:v>23.459999</c:v>
                </c:pt>
                <c:pt idx="52">
                  <c:v>22.389999</c:v>
                </c:pt>
                <c:pt idx="53">
                  <c:v>22.190000999999999</c:v>
                </c:pt>
                <c:pt idx="54">
                  <c:v>22.790001</c:v>
                </c:pt>
                <c:pt idx="55">
                  <c:v>23.139999</c:v>
                </c:pt>
                <c:pt idx="56">
                  <c:v>21.74</c:v>
                </c:pt>
                <c:pt idx="57">
                  <c:v>22.799999</c:v>
                </c:pt>
                <c:pt idx="58">
                  <c:v>21.879999000000002</c:v>
                </c:pt>
                <c:pt idx="59">
                  <c:v>22.5</c:v>
                </c:pt>
                <c:pt idx="60">
                  <c:v>22.41</c:v>
                </c:pt>
                <c:pt idx="61">
                  <c:v>21.34</c:v>
                </c:pt>
                <c:pt idx="62">
                  <c:v>22.540001</c:v>
                </c:pt>
                <c:pt idx="63">
                  <c:v>24.049999</c:v>
                </c:pt>
                <c:pt idx="64">
                  <c:v>24.1</c:v>
                </c:pt>
                <c:pt idx="65">
                  <c:v>24.58</c:v>
                </c:pt>
                <c:pt idx="66">
                  <c:v>23.91</c:v>
                </c:pt>
                <c:pt idx="67">
                  <c:v>23.58</c:v>
                </c:pt>
                <c:pt idx="68">
                  <c:v>23.25</c:v>
                </c:pt>
                <c:pt idx="69">
                  <c:v>22.42</c:v>
                </c:pt>
                <c:pt idx="70">
                  <c:v>21.940000999999999</c:v>
                </c:pt>
                <c:pt idx="71">
                  <c:v>21.110001</c:v>
                </c:pt>
                <c:pt idx="72">
                  <c:v>20.48</c:v>
                </c:pt>
                <c:pt idx="73">
                  <c:v>20.700001</c:v>
                </c:pt>
                <c:pt idx="74">
                  <c:v>21.719999000000001</c:v>
                </c:pt>
                <c:pt idx="75">
                  <c:v>21.940000999999999</c:v>
                </c:pt>
                <c:pt idx="76">
                  <c:v>23.059999000000001</c:v>
                </c:pt>
                <c:pt idx="77">
                  <c:v>23.219999000000001</c:v>
                </c:pt>
                <c:pt idx="78">
                  <c:v>23.040001</c:v>
                </c:pt>
                <c:pt idx="79">
                  <c:v>23.950001</c:v>
                </c:pt>
                <c:pt idx="80">
                  <c:v>23.799999</c:v>
                </c:pt>
                <c:pt idx="81">
                  <c:v>23.799999</c:v>
                </c:pt>
                <c:pt idx="82">
                  <c:v>23.77</c:v>
                </c:pt>
                <c:pt idx="83">
                  <c:v>23.879999000000002</c:v>
                </c:pt>
                <c:pt idx="84">
                  <c:v>25</c:v>
                </c:pt>
                <c:pt idx="85">
                  <c:v>25.389999</c:v>
                </c:pt>
                <c:pt idx="86">
                  <c:v>25.83</c:v>
                </c:pt>
                <c:pt idx="87">
                  <c:v>27.030000999999999</c:v>
                </c:pt>
                <c:pt idx="88">
                  <c:v>28.309999000000001</c:v>
                </c:pt>
                <c:pt idx="89">
                  <c:v>27.879999000000002</c:v>
                </c:pt>
                <c:pt idx="90">
                  <c:v>28.219999000000001</c:v>
                </c:pt>
                <c:pt idx="91">
                  <c:v>30.75</c:v>
                </c:pt>
                <c:pt idx="92">
                  <c:v>33.970001000000003</c:v>
                </c:pt>
                <c:pt idx="93">
                  <c:v>34.220001000000003</c:v>
                </c:pt>
                <c:pt idx="94">
                  <c:v>36.279998999999997</c:v>
                </c:pt>
                <c:pt idx="95">
                  <c:v>37.639999000000003</c:v>
                </c:pt>
                <c:pt idx="96">
                  <c:v>36.759998000000003</c:v>
                </c:pt>
                <c:pt idx="97">
                  <c:v>35.939999</c:v>
                </c:pt>
                <c:pt idx="98">
                  <c:v>36.529998999999997</c:v>
                </c:pt>
                <c:pt idx="99">
                  <c:v>38.380001</c:v>
                </c:pt>
                <c:pt idx="100">
                  <c:v>42.349997999999999</c:v>
                </c:pt>
                <c:pt idx="101">
                  <c:v>45.810001</c:v>
                </c:pt>
                <c:pt idx="102">
                  <c:v>43.84</c:v>
                </c:pt>
                <c:pt idx="103">
                  <c:v>46.400002000000001</c:v>
                </c:pt>
                <c:pt idx="104">
                  <c:v>45.439999</c:v>
                </c:pt>
                <c:pt idx="105">
                  <c:v>42.130001</c:v>
                </c:pt>
                <c:pt idx="106">
                  <c:v>38.290000999999997</c:v>
                </c:pt>
                <c:pt idx="107">
                  <c:v>41.240001999999997</c:v>
                </c:pt>
                <c:pt idx="108">
                  <c:v>41.34</c:v>
                </c:pt>
                <c:pt idx="109">
                  <c:v>34.939999</c:v>
                </c:pt>
                <c:pt idx="110">
                  <c:v>35.060001</c:v>
                </c:pt>
                <c:pt idx="111">
                  <c:v>36.75</c:v>
                </c:pt>
                <c:pt idx="112">
                  <c:v>38.189999</c:v>
                </c:pt>
                <c:pt idx="113">
                  <c:v>39.57</c:v>
                </c:pt>
                <c:pt idx="114">
                  <c:v>42.66</c:v>
                </c:pt>
                <c:pt idx="115">
                  <c:v>41.990001999999997</c:v>
                </c:pt>
                <c:pt idx="116">
                  <c:v>41.619999</c:v>
                </c:pt>
                <c:pt idx="117">
                  <c:v>43.68</c:v>
                </c:pt>
                <c:pt idx="118">
                  <c:v>45.220001000000003</c:v>
                </c:pt>
                <c:pt idx="119">
                  <c:v>44.860000999999997</c:v>
                </c:pt>
                <c:pt idx="120">
                  <c:v>44.360000999999997</c:v>
                </c:pt>
                <c:pt idx="121">
                  <c:v>46.740001999999997</c:v>
                </c:pt>
                <c:pt idx="122">
                  <c:v>49.380001</c:v>
                </c:pt>
                <c:pt idx="123">
                  <c:v>52.540000999999997</c:v>
                </c:pt>
                <c:pt idx="124">
                  <c:v>52.139999000000003</c:v>
                </c:pt>
                <c:pt idx="125">
                  <c:v>53.07</c:v>
                </c:pt>
                <c:pt idx="126">
                  <c:v>53.639999000000003</c:v>
                </c:pt>
                <c:pt idx="127">
                  <c:v>55.830002</c:v>
                </c:pt>
                <c:pt idx="128">
                  <c:v>54.740001999999997</c:v>
                </c:pt>
                <c:pt idx="129">
                  <c:v>58.43</c:v>
                </c:pt>
                <c:pt idx="130">
                  <c:v>61.369999</c:v>
                </c:pt>
                <c:pt idx="131">
                  <c:v>62.119999</c:v>
                </c:pt>
                <c:pt idx="132">
                  <c:v>61.25</c:v>
                </c:pt>
                <c:pt idx="133">
                  <c:v>61.860000999999997</c:v>
                </c:pt>
                <c:pt idx="134">
                  <c:v>57.360000999999997</c:v>
                </c:pt>
                <c:pt idx="135">
                  <c:v>54.080002</c:v>
                </c:pt>
                <c:pt idx="136">
                  <c:v>55.740001999999997</c:v>
                </c:pt>
                <c:pt idx="137">
                  <c:v>49.07</c:v>
                </c:pt>
                <c:pt idx="138">
                  <c:v>50.779998999999997</c:v>
                </c:pt>
                <c:pt idx="139">
                  <c:v>48.790000999999997</c:v>
                </c:pt>
                <c:pt idx="140">
                  <c:v>49.639999000000003</c:v>
                </c:pt>
                <c:pt idx="141">
                  <c:v>52.290000999999997</c:v>
                </c:pt>
                <c:pt idx="142">
                  <c:v>49.990001999999997</c:v>
                </c:pt>
                <c:pt idx="143">
                  <c:v>44.049999</c:v>
                </c:pt>
                <c:pt idx="144">
                  <c:v>45.5</c:v>
                </c:pt>
                <c:pt idx="145">
                  <c:v>48.5</c:v>
                </c:pt>
                <c:pt idx="146">
                  <c:v>49.169998</c:v>
                </c:pt>
                <c:pt idx="147">
                  <c:v>47.560001</c:v>
                </c:pt>
                <c:pt idx="148">
                  <c:v>45.5</c:v>
                </c:pt>
                <c:pt idx="149">
                  <c:v>47.060001</c:v>
                </c:pt>
                <c:pt idx="150">
                  <c:v>50.77</c:v>
                </c:pt>
                <c:pt idx="151">
                  <c:v>49.98</c:v>
                </c:pt>
                <c:pt idx="152">
                  <c:v>48.060001</c:v>
                </c:pt>
                <c:pt idx="153">
                  <c:v>51.759998000000003</c:v>
                </c:pt>
                <c:pt idx="154">
                  <c:v>50.049999</c:v>
                </c:pt>
                <c:pt idx="155">
                  <c:v>51.169998</c:v>
                </c:pt>
                <c:pt idx="156">
                  <c:v>51.080002</c:v>
                </c:pt>
                <c:pt idx="157">
                  <c:v>49.34</c:v>
                </c:pt>
                <c:pt idx="158">
                  <c:v>47.049999</c:v>
                </c:pt>
                <c:pt idx="159">
                  <c:v>47.139999000000003</c:v>
                </c:pt>
                <c:pt idx="160">
                  <c:v>49.400002000000001</c:v>
                </c:pt>
                <c:pt idx="161">
                  <c:v>52.98</c:v>
                </c:pt>
                <c:pt idx="162">
                  <c:v>57.029998999999997</c:v>
                </c:pt>
                <c:pt idx="163">
                  <c:v>57.709999000000003</c:v>
                </c:pt>
                <c:pt idx="164">
                  <c:v>58.599997999999999</c:v>
                </c:pt>
                <c:pt idx="165">
                  <c:v>60.580002</c:v>
                </c:pt>
                <c:pt idx="166">
                  <c:v>71.370002999999997</c:v>
                </c:pt>
                <c:pt idx="167">
                  <c:v>77.370002999999997</c:v>
                </c:pt>
                <c:pt idx="168">
                  <c:v>80.290001000000004</c:v>
                </c:pt>
                <c:pt idx="169">
                  <c:v>84.529999000000004</c:v>
                </c:pt>
                <c:pt idx="170">
                  <c:v>85.050003000000004</c:v>
                </c:pt>
                <c:pt idx="171">
                  <c:v>85.599997999999999</c:v>
                </c:pt>
                <c:pt idx="172">
                  <c:v>85.489998</c:v>
                </c:pt>
                <c:pt idx="173">
                  <c:v>88.589995999999999</c:v>
                </c:pt>
                <c:pt idx="174">
                  <c:v>83.07</c:v>
                </c:pt>
                <c:pt idx="175">
                  <c:v>83.709998999999996</c:v>
                </c:pt>
                <c:pt idx="176">
                  <c:v>87.5</c:v>
                </c:pt>
                <c:pt idx="177">
                  <c:v>94.669998000000007</c:v>
                </c:pt>
                <c:pt idx="178">
                  <c:v>94.389999000000003</c:v>
                </c:pt>
                <c:pt idx="179">
                  <c:v>87.239998</c:v>
                </c:pt>
                <c:pt idx="180">
                  <c:v>89.25</c:v>
                </c:pt>
                <c:pt idx="181">
                  <c:v>94.690002000000007</c:v>
                </c:pt>
                <c:pt idx="182">
                  <c:v>93.559997999999993</c:v>
                </c:pt>
                <c:pt idx="183">
                  <c:v>96.57</c:v>
                </c:pt>
                <c:pt idx="184">
                  <c:v>100.709999</c:v>
                </c:pt>
                <c:pt idx="185">
                  <c:v>103.660004</c:v>
                </c:pt>
                <c:pt idx="186">
                  <c:v>102.69000200000001</c:v>
                </c:pt>
                <c:pt idx="187">
                  <c:v>109.05999799999999</c:v>
                </c:pt>
                <c:pt idx="188">
                  <c:v>108.010002</c:v>
                </c:pt>
                <c:pt idx="189">
                  <c:v>112.480003</c:v>
                </c:pt>
                <c:pt idx="190">
                  <c:v>113.68</c:v>
                </c:pt>
                <c:pt idx="191">
                  <c:v>117.05999799999999</c:v>
                </c:pt>
                <c:pt idx="192">
                  <c:v>122.540001</c:v>
                </c:pt>
                <c:pt idx="193">
                  <c:v>119.800003</c:v>
                </c:pt>
                <c:pt idx="194">
                  <c:v>118.260002</c:v>
                </c:pt>
                <c:pt idx="195">
                  <c:v>124.050003</c:v>
                </c:pt>
                <c:pt idx="196">
                  <c:v>109.19000200000001</c:v>
                </c:pt>
                <c:pt idx="197">
                  <c:v>105</c:v>
                </c:pt>
                <c:pt idx="198">
                  <c:v>96.440002000000007</c:v>
                </c:pt>
                <c:pt idx="199">
                  <c:v>95.279999000000004</c:v>
                </c:pt>
                <c:pt idx="200">
                  <c:v>93.910004000000001</c:v>
                </c:pt>
                <c:pt idx="201">
                  <c:v>96.410004000000001</c:v>
                </c:pt>
                <c:pt idx="202">
                  <c:v>102.230003</c:v>
                </c:pt>
                <c:pt idx="203">
                  <c:v>106.019997</c:v>
                </c:pt>
                <c:pt idx="204">
                  <c:v>106.720001</c:v>
                </c:pt>
                <c:pt idx="205">
                  <c:v>100.839996</c:v>
                </c:pt>
                <c:pt idx="206">
                  <c:v>103.209999</c:v>
                </c:pt>
                <c:pt idx="207">
                  <c:v>101.58000199999999</c:v>
                </c:pt>
                <c:pt idx="208">
                  <c:v>97.440002000000007</c:v>
                </c:pt>
                <c:pt idx="209">
                  <c:v>97.449996999999996</c:v>
                </c:pt>
                <c:pt idx="210">
                  <c:v>101.290001</c:v>
                </c:pt>
                <c:pt idx="211">
                  <c:v>107.410004</c:v>
                </c:pt>
                <c:pt idx="212">
                  <c:v>110.470001</c:v>
                </c:pt>
                <c:pt idx="213">
                  <c:v>108.349998</c:v>
                </c:pt>
                <c:pt idx="214">
                  <c:v>95.32</c:v>
                </c:pt>
                <c:pt idx="215">
                  <c:v>100.089996</c:v>
                </c:pt>
                <c:pt idx="216">
                  <c:v>101.480003</c:v>
                </c:pt>
                <c:pt idx="217">
                  <c:v>96.050003000000004</c:v>
                </c:pt>
                <c:pt idx="218">
                  <c:v>90.599997999999999</c:v>
                </c:pt>
                <c:pt idx="219">
                  <c:v>88.800003000000004</c:v>
                </c:pt>
                <c:pt idx="220">
                  <c:v>87.650002000000001</c:v>
                </c:pt>
                <c:pt idx="221">
                  <c:v>89.019997000000004</c:v>
                </c:pt>
                <c:pt idx="222">
                  <c:v>89.010002</c:v>
                </c:pt>
                <c:pt idx="223">
                  <c:v>89.489998</c:v>
                </c:pt>
                <c:pt idx="224">
                  <c:v>87.389999000000003</c:v>
                </c:pt>
                <c:pt idx="225">
                  <c:v>89.779999000000004</c:v>
                </c:pt>
                <c:pt idx="226">
                  <c:v>86.730002999999996</c:v>
                </c:pt>
                <c:pt idx="227">
                  <c:v>88.529999000000004</c:v>
                </c:pt>
                <c:pt idx="228">
                  <c:v>89.199996999999996</c:v>
                </c:pt>
                <c:pt idx="229">
                  <c:v>92.199996999999996</c:v>
                </c:pt>
                <c:pt idx="230">
                  <c:v>93.660004000000001</c:v>
                </c:pt>
                <c:pt idx="231">
                  <c:v>100.040001</c:v>
                </c:pt>
                <c:pt idx="232">
                  <c:v>109.050003</c:v>
                </c:pt>
                <c:pt idx="233">
                  <c:v>112.25</c:v>
                </c:pt>
                <c:pt idx="234">
                  <c:v>106.900002</c:v>
                </c:pt>
                <c:pt idx="235">
                  <c:v>107.040001</c:v>
                </c:pt>
                <c:pt idx="236">
                  <c:v>105.279999</c:v>
                </c:pt>
                <c:pt idx="237">
                  <c:v>109.07</c:v>
                </c:pt>
                <c:pt idx="238">
                  <c:v>104.19000200000001</c:v>
                </c:pt>
                <c:pt idx="239">
                  <c:v>107.300003</c:v>
                </c:pt>
                <c:pt idx="240">
                  <c:v>111.099998</c:v>
                </c:pt>
                <c:pt idx="241">
                  <c:v>116.93</c:v>
                </c:pt>
                <c:pt idx="242">
                  <c:v>118.489998</c:v>
                </c:pt>
                <c:pt idx="243">
                  <c:v>117.839996</c:v>
                </c:pt>
                <c:pt idx="244">
                  <c:v>116.18</c:v>
                </c:pt>
                <c:pt idx="245">
                  <c:v>116.91999800000001</c:v>
                </c:pt>
                <c:pt idx="246">
                  <c:v>113.44000200000001</c:v>
                </c:pt>
                <c:pt idx="247">
                  <c:v>116.620003</c:v>
                </c:pt>
                <c:pt idx="248">
                  <c:v>106.260002</c:v>
                </c:pt>
                <c:pt idx="249">
                  <c:v>99.910004000000001</c:v>
                </c:pt>
                <c:pt idx="250">
                  <c:v>98.160004000000001</c:v>
                </c:pt>
                <c:pt idx="251">
                  <c:v>98.870002999999997</c:v>
                </c:pt>
                <c:pt idx="252">
                  <c:v>95</c:v>
                </c:pt>
                <c:pt idx="253">
                  <c:v>101.41999800000001</c:v>
                </c:pt>
                <c:pt idx="254">
                  <c:v>90.68</c:v>
                </c:pt>
                <c:pt idx="255">
                  <c:v>93.029999000000004</c:v>
                </c:pt>
                <c:pt idx="256">
                  <c:v>87.269997000000004</c:v>
                </c:pt>
                <c:pt idx="257">
                  <c:v>83.68</c:v>
                </c:pt>
                <c:pt idx="258">
                  <c:v>78.889999000000003</c:v>
                </c:pt>
                <c:pt idx="259">
                  <c:v>75.459998999999996</c:v>
                </c:pt>
                <c:pt idx="260">
                  <c:v>71.540001000000004</c:v>
                </c:pt>
                <c:pt idx="261">
                  <c:v>71.769997000000004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5B-431E-8C15-87A765A54E68}"/>
            </c:ext>
          </c:extLst>
        </c:ser>
        <c:ser>
          <c:idx val="4"/>
          <c:order val="4"/>
          <c:tx>
            <c:strRef>
              <c:f>'Part 2'!$K$1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'Part 2'!$K$2:$K$263</c:f>
              <c:numCache>
                <c:formatCode>"$"#,##0.0000</c:formatCode>
                <c:ptCount val="262"/>
                <c:pt idx="0">
                  <c:v>36.909999999999997</c:v>
                </c:pt>
                <c:pt idx="1">
                  <c:v>36.040000999999997</c:v>
                </c:pt>
                <c:pt idx="2">
                  <c:v>36.380001</c:v>
                </c:pt>
                <c:pt idx="3">
                  <c:v>36.810001</c:v>
                </c:pt>
                <c:pt idx="4">
                  <c:v>37.840000000000003</c:v>
                </c:pt>
                <c:pt idx="5">
                  <c:v>36.560001</c:v>
                </c:pt>
                <c:pt idx="6">
                  <c:v>37.619999</c:v>
                </c:pt>
                <c:pt idx="7">
                  <c:v>37.979999999999997</c:v>
                </c:pt>
                <c:pt idx="8">
                  <c:v>38.310001</c:v>
                </c:pt>
                <c:pt idx="9">
                  <c:v>37.900002000000001</c:v>
                </c:pt>
                <c:pt idx="10">
                  <c:v>37.700001</c:v>
                </c:pt>
                <c:pt idx="11">
                  <c:v>40.159999999999997</c:v>
                </c:pt>
                <c:pt idx="12">
                  <c:v>40.299999</c:v>
                </c:pt>
                <c:pt idx="13">
                  <c:v>39.869999</c:v>
                </c:pt>
                <c:pt idx="14">
                  <c:v>39.209999000000003</c:v>
                </c:pt>
                <c:pt idx="15">
                  <c:v>40.009998000000003</c:v>
                </c:pt>
                <c:pt idx="16">
                  <c:v>39.909999999999997</c:v>
                </c:pt>
                <c:pt idx="17">
                  <c:v>39.689999</c:v>
                </c:pt>
                <c:pt idx="18">
                  <c:v>39.540000999999997</c:v>
                </c:pt>
                <c:pt idx="19">
                  <c:v>39.830002</c:v>
                </c:pt>
                <c:pt idx="20">
                  <c:v>40.119999</c:v>
                </c:pt>
                <c:pt idx="21">
                  <c:v>40.939999</c:v>
                </c:pt>
                <c:pt idx="22">
                  <c:v>41.48</c:v>
                </c:pt>
                <c:pt idx="23">
                  <c:v>41.23</c:v>
                </c:pt>
                <c:pt idx="24">
                  <c:v>41.68</c:v>
                </c:pt>
                <c:pt idx="25">
                  <c:v>42.25</c:v>
                </c:pt>
                <c:pt idx="26">
                  <c:v>41.799999</c:v>
                </c:pt>
                <c:pt idx="27">
                  <c:v>42.09</c:v>
                </c:pt>
                <c:pt idx="28">
                  <c:v>44.689999</c:v>
                </c:pt>
                <c:pt idx="29">
                  <c:v>44.5</c:v>
                </c:pt>
                <c:pt idx="30">
                  <c:v>42.860000999999997</c:v>
                </c:pt>
                <c:pt idx="31">
                  <c:v>43.200001</c:v>
                </c:pt>
                <c:pt idx="32">
                  <c:v>44.790000999999997</c:v>
                </c:pt>
                <c:pt idx="33">
                  <c:v>45.150002000000001</c:v>
                </c:pt>
                <c:pt idx="34">
                  <c:v>45.43</c:v>
                </c:pt>
                <c:pt idx="35">
                  <c:v>45.91</c:v>
                </c:pt>
                <c:pt idx="36">
                  <c:v>46.700001</c:v>
                </c:pt>
                <c:pt idx="37">
                  <c:v>47.52</c:v>
                </c:pt>
                <c:pt idx="38">
                  <c:v>46.41</c:v>
                </c:pt>
                <c:pt idx="39">
                  <c:v>46.09</c:v>
                </c:pt>
                <c:pt idx="40">
                  <c:v>44.029998999999997</c:v>
                </c:pt>
                <c:pt idx="41">
                  <c:v>43.630001</c:v>
                </c:pt>
                <c:pt idx="42">
                  <c:v>46.130001</c:v>
                </c:pt>
                <c:pt idx="43">
                  <c:v>46.950001</c:v>
                </c:pt>
                <c:pt idx="44">
                  <c:v>48.68</c:v>
                </c:pt>
                <c:pt idx="45">
                  <c:v>49.580002</c:v>
                </c:pt>
                <c:pt idx="46">
                  <c:v>47.98</c:v>
                </c:pt>
                <c:pt idx="47">
                  <c:v>47.810001</c:v>
                </c:pt>
                <c:pt idx="48">
                  <c:v>48.419998</c:v>
                </c:pt>
                <c:pt idx="49">
                  <c:v>46.950001</c:v>
                </c:pt>
                <c:pt idx="50">
                  <c:v>47.66</c:v>
                </c:pt>
                <c:pt idx="51">
                  <c:v>47.880001</c:v>
                </c:pt>
                <c:pt idx="52">
                  <c:v>46.759998000000003</c:v>
                </c:pt>
                <c:pt idx="53">
                  <c:v>47.189999</c:v>
                </c:pt>
                <c:pt idx="54">
                  <c:v>46.240001999999997</c:v>
                </c:pt>
                <c:pt idx="55">
                  <c:v>47.18</c:v>
                </c:pt>
                <c:pt idx="56">
                  <c:v>40.400002000000001</c:v>
                </c:pt>
                <c:pt idx="57">
                  <c:v>42.41</c:v>
                </c:pt>
                <c:pt idx="58">
                  <c:v>43.869999</c:v>
                </c:pt>
                <c:pt idx="59">
                  <c:v>43.860000999999997</c:v>
                </c:pt>
                <c:pt idx="60">
                  <c:v>43.849997999999999</c:v>
                </c:pt>
                <c:pt idx="61">
                  <c:v>42.360000999999997</c:v>
                </c:pt>
                <c:pt idx="62">
                  <c:v>41.380001</c:v>
                </c:pt>
                <c:pt idx="63">
                  <c:v>42.880001</c:v>
                </c:pt>
                <c:pt idx="64">
                  <c:v>40.970001000000003</c:v>
                </c:pt>
                <c:pt idx="65">
                  <c:v>40.290000999999997</c:v>
                </c:pt>
                <c:pt idx="66">
                  <c:v>41.720001000000003</c:v>
                </c:pt>
                <c:pt idx="67">
                  <c:v>41.619999</c:v>
                </c:pt>
                <c:pt idx="68">
                  <c:v>47.869999</c:v>
                </c:pt>
                <c:pt idx="69">
                  <c:v>48.66</c:v>
                </c:pt>
                <c:pt idx="70">
                  <c:v>47.75</c:v>
                </c:pt>
                <c:pt idx="71">
                  <c:v>48.299999</c:v>
                </c:pt>
                <c:pt idx="72">
                  <c:v>46.900002000000001</c:v>
                </c:pt>
                <c:pt idx="73">
                  <c:v>46.860000999999997</c:v>
                </c:pt>
                <c:pt idx="74">
                  <c:v>46.139999000000003</c:v>
                </c:pt>
                <c:pt idx="75">
                  <c:v>45.970001000000003</c:v>
                </c:pt>
                <c:pt idx="76">
                  <c:v>46.099997999999999</c:v>
                </c:pt>
                <c:pt idx="77">
                  <c:v>45.259998000000003</c:v>
                </c:pt>
                <c:pt idx="78">
                  <c:v>44.400002000000001</c:v>
                </c:pt>
                <c:pt idx="79">
                  <c:v>44.610000999999997</c:v>
                </c:pt>
                <c:pt idx="80">
                  <c:v>46.619999</c:v>
                </c:pt>
                <c:pt idx="81">
                  <c:v>45.939999</c:v>
                </c:pt>
                <c:pt idx="82">
                  <c:v>46.700001</c:v>
                </c:pt>
                <c:pt idx="83">
                  <c:v>46.740001999999997</c:v>
                </c:pt>
                <c:pt idx="84">
                  <c:v>47</c:v>
                </c:pt>
                <c:pt idx="85">
                  <c:v>43.07</c:v>
                </c:pt>
                <c:pt idx="86">
                  <c:v>43.93</c:v>
                </c:pt>
                <c:pt idx="87">
                  <c:v>42.610000999999997</c:v>
                </c:pt>
                <c:pt idx="88">
                  <c:v>43.48</c:v>
                </c:pt>
                <c:pt idx="89">
                  <c:v>43.48</c:v>
                </c:pt>
                <c:pt idx="90">
                  <c:v>43.939999</c:v>
                </c:pt>
                <c:pt idx="91">
                  <c:v>45.57</c:v>
                </c:pt>
                <c:pt idx="92">
                  <c:v>47.110000999999997</c:v>
                </c:pt>
                <c:pt idx="93">
                  <c:v>47.509998000000003</c:v>
                </c:pt>
                <c:pt idx="94">
                  <c:v>52.869999</c:v>
                </c:pt>
                <c:pt idx="95">
                  <c:v>52.639999000000003</c:v>
                </c:pt>
                <c:pt idx="96">
                  <c:v>54.919998</c:v>
                </c:pt>
                <c:pt idx="97">
                  <c:v>52.84</c:v>
                </c:pt>
                <c:pt idx="98">
                  <c:v>54.189999</c:v>
                </c:pt>
                <c:pt idx="99">
                  <c:v>53.93</c:v>
                </c:pt>
                <c:pt idx="100">
                  <c:v>55.91</c:v>
                </c:pt>
                <c:pt idx="101">
                  <c:v>54.060001</c:v>
                </c:pt>
                <c:pt idx="102">
                  <c:v>54.130001</c:v>
                </c:pt>
                <c:pt idx="103">
                  <c:v>55.669998</c:v>
                </c:pt>
                <c:pt idx="104">
                  <c:v>55.48</c:v>
                </c:pt>
                <c:pt idx="105">
                  <c:v>52.330002</c:v>
                </c:pt>
                <c:pt idx="106">
                  <c:v>50.990001999999997</c:v>
                </c:pt>
                <c:pt idx="107">
                  <c:v>52.290000999999997</c:v>
                </c:pt>
                <c:pt idx="108">
                  <c:v>55.09</c:v>
                </c:pt>
                <c:pt idx="109">
                  <c:v>50.16</c:v>
                </c:pt>
                <c:pt idx="110">
                  <c:v>50.5</c:v>
                </c:pt>
                <c:pt idx="111">
                  <c:v>51.82</c:v>
                </c:pt>
                <c:pt idx="112">
                  <c:v>51.299999</c:v>
                </c:pt>
                <c:pt idx="113">
                  <c:v>52.029998999999997</c:v>
                </c:pt>
                <c:pt idx="114">
                  <c:v>53.07</c:v>
                </c:pt>
                <c:pt idx="115">
                  <c:v>53.490001999999997</c:v>
                </c:pt>
                <c:pt idx="116">
                  <c:v>54.209999000000003</c:v>
                </c:pt>
                <c:pt idx="117">
                  <c:v>55.57</c:v>
                </c:pt>
                <c:pt idx="118">
                  <c:v>54.419998</c:v>
                </c:pt>
                <c:pt idx="119">
                  <c:v>55.650002000000001</c:v>
                </c:pt>
                <c:pt idx="120">
                  <c:v>51.779998999999997</c:v>
                </c:pt>
                <c:pt idx="121">
                  <c:v>49.869999</c:v>
                </c:pt>
                <c:pt idx="122">
                  <c:v>50.389999000000003</c:v>
                </c:pt>
                <c:pt idx="123">
                  <c:v>51.080002</c:v>
                </c:pt>
                <c:pt idx="124">
                  <c:v>50.619999</c:v>
                </c:pt>
                <c:pt idx="125">
                  <c:v>52.32</c:v>
                </c:pt>
                <c:pt idx="126">
                  <c:v>51.790000999999997</c:v>
                </c:pt>
                <c:pt idx="127">
                  <c:v>51.48</c:v>
                </c:pt>
                <c:pt idx="128">
                  <c:v>50.130001</c:v>
                </c:pt>
                <c:pt idx="129">
                  <c:v>49.830002</c:v>
                </c:pt>
                <c:pt idx="130">
                  <c:v>51.16</c:v>
                </c:pt>
                <c:pt idx="131">
                  <c:v>52.299999</c:v>
                </c:pt>
                <c:pt idx="132">
                  <c:v>53.700001</c:v>
                </c:pt>
                <c:pt idx="133">
                  <c:v>56.57</c:v>
                </c:pt>
                <c:pt idx="134">
                  <c:v>56.68</c:v>
                </c:pt>
                <c:pt idx="135">
                  <c:v>57.959999000000003</c:v>
                </c:pt>
                <c:pt idx="136">
                  <c:v>57.939999</c:v>
                </c:pt>
                <c:pt idx="137">
                  <c:v>57.619999</c:v>
                </c:pt>
                <c:pt idx="138">
                  <c:v>58.029998999999997</c:v>
                </c:pt>
                <c:pt idx="139">
                  <c:v>57.669998</c:v>
                </c:pt>
                <c:pt idx="140">
                  <c:v>56.209999000000003</c:v>
                </c:pt>
                <c:pt idx="141">
                  <c:v>57.25</c:v>
                </c:pt>
                <c:pt idx="142">
                  <c:v>57.43</c:v>
                </c:pt>
                <c:pt idx="143">
                  <c:v>57.599997999999999</c:v>
                </c:pt>
                <c:pt idx="144">
                  <c:v>57.799999</c:v>
                </c:pt>
                <c:pt idx="145">
                  <c:v>57.419998</c:v>
                </c:pt>
                <c:pt idx="146">
                  <c:v>59.66</c:v>
                </c:pt>
                <c:pt idx="147">
                  <c:v>59.869999</c:v>
                </c:pt>
                <c:pt idx="148">
                  <c:v>58.709999000000003</c:v>
                </c:pt>
                <c:pt idx="149">
                  <c:v>59.02</c:v>
                </c:pt>
                <c:pt idx="150">
                  <c:v>60.349997999999999</c:v>
                </c:pt>
                <c:pt idx="151">
                  <c:v>60.529998999999997</c:v>
                </c:pt>
                <c:pt idx="152">
                  <c:v>59.25</c:v>
                </c:pt>
                <c:pt idx="153">
                  <c:v>61.970001000000003</c:v>
                </c:pt>
                <c:pt idx="154">
                  <c:v>62.299999</c:v>
                </c:pt>
                <c:pt idx="155">
                  <c:v>63.240001999999997</c:v>
                </c:pt>
                <c:pt idx="156">
                  <c:v>62.139999000000003</c:v>
                </c:pt>
                <c:pt idx="157">
                  <c:v>62.84</c:v>
                </c:pt>
                <c:pt idx="158">
                  <c:v>62.700001</c:v>
                </c:pt>
                <c:pt idx="159">
                  <c:v>62.740001999999997</c:v>
                </c:pt>
                <c:pt idx="160">
                  <c:v>65.779999000000004</c:v>
                </c:pt>
                <c:pt idx="161">
                  <c:v>63.68</c:v>
                </c:pt>
                <c:pt idx="162">
                  <c:v>64</c:v>
                </c:pt>
                <c:pt idx="163">
                  <c:v>64.620002999999997</c:v>
                </c:pt>
                <c:pt idx="164">
                  <c:v>64.620002999999997</c:v>
                </c:pt>
                <c:pt idx="165">
                  <c:v>64.25</c:v>
                </c:pt>
                <c:pt idx="166">
                  <c:v>64.930000000000007</c:v>
                </c:pt>
                <c:pt idx="167">
                  <c:v>64.870002999999997</c:v>
                </c:pt>
                <c:pt idx="168">
                  <c:v>64.980002999999996</c:v>
                </c:pt>
                <c:pt idx="169">
                  <c:v>65.860000999999997</c:v>
                </c:pt>
                <c:pt idx="170">
                  <c:v>65.680000000000007</c:v>
                </c:pt>
                <c:pt idx="171">
                  <c:v>64.949996999999996</c:v>
                </c:pt>
                <c:pt idx="172">
                  <c:v>66.400002000000001</c:v>
                </c:pt>
                <c:pt idx="173">
                  <c:v>68.459998999999996</c:v>
                </c:pt>
                <c:pt idx="174">
                  <c:v>69</c:v>
                </c:pt>
                <c:pt idx="175">
                  <c:v>68.379997000000003</c:v>
                </c:pt>
                <c:pt idx="176">
                  <c:v>67.690002000000007</c:v>
                </c:pt>
                <c:pt idx="177">
                  <c:v>69.959998999999996</c:v>
                </c:pt>
                <c:pt idx="178">
                  <c:v>71.760002</c:v>
                </c:pt>
                <c:pt idx="179">
                  <c:v>70.319999999999993</c:v>
                </c:pt>
                <c:pt idx="180">
                  <c:v>70</c:v>
                </c:pt>
                <c:pt idx="181">
                  <c:v>71.209998999999996</c:v>
                </c:pt>
                <c:pt idx="182">
                  <c:v>68.930000000000007</c:v>
                </c:pt>
                <c:pt idx="183">
                  <c:v>69.459998999999996</c:v>
                </c:pt>
                <c:pt idx="184">
                  <c:v>72.779999000000004</c:v>
                </c:pt>
                <c:pt idx="185">
                  <c:v>73.790001000000004</c:v>
                </c:pt>
                <c:pt idx="186">
                  <c:v>73.040001000000004</c:v>
                </c:pt>
                <c:pt idx="187">
                  <c:v>72.680000000000007</c:v>
                </c:pt>
                <c:pt idx="188">
                  <c:v>72.5</c:v>
                </c:pt>
                <c:pt idx="189">
                  <c:v>72.489998</c:v>
                </c:pt>
                <c:pt idx="190">
                  <c:v>72.819999999999993</c:v>
                </c:pt>
                <c:pt idx="191">
                  <c:v>73.940002000000007</c:v>
                </c:pt>
                <c:pt idx="192">
                  <c:v>73.980002999999996</c:v>
                </c:pt>
                <c:pt idx="193">
                  <c:v>75.309997999999993</c:v>
                </c:pt>
                <c:pt idx="194">
                  <c:v>74.410004000000001</c:v>
                </c:pt>
                <c:pt idx="195">
                  <c:v>74.489998</c:v>
                </c:pt>
                <c:pt idx="196">
                  <c:v>76</c:v>
                </c:pt>
                <c:pt idx="197">
                  <c:v>77.489998</c:v>
                </c:pt>
                <c:pt idx="198">
                  <c:v>78.809997999999993</c:v>
                </c:pt>
                <c:pt idx="199">
                  <c:v>83.809997999999993</c:v>
                </c:pt>
                <c:pt idx="200">
                  <c:v>84.139999000000003</c:v>
                </c:pt>
                <c:pt idx="201">
                  <c:v>83.870002999999997</c:v>
                </c:pt>
                <c:pt idx="202">
                  <c:v>82.400002000000001</c:v>
                </c:pt>
                <c:pt idx="203">
                  <c:v>83.260002</c:v>
                </c:pt>
                <c:pt idx="204">
                  <c:v>84.260002</c:v>
                </c:pt>
                <c:pt idx="205">
                  <c:v>84.160004000000001</c:v>
                </c:pt>
                <c:pt idx="206">
                  <c:v>86.849997999999999</c:v>
                </c:pt>
                <c:pt idx="207">
                  <c:v>85.510002</c:v>
                </c:pt>
                <c:pt idx="208">
                  <c:v>85.540001000000004</c:v>
                </c:pt>
                <c:pt idx="209">
                  <c:v>88.190002000000007</c:v>
                </c:pt>
                <c:pt idx="210">
                  <c:v>89.599997999999999</c:v>
                </c:pt>
                <c:pt idx="211">
                  <c:v>90</c:v>
                </c:pt>
                <c:pt idx="212">
                  <c:v>94.059997999999993</c:v>
                </c:pt>
                <c:pt idx="213">
                  <c:v>91.779999000000004</c:v>
                </c:pt>
                <c:pt idx="214">
                  <c:v>88.18</c:v>
                </c:pt>
                <c:pt idx="215">
                  <c:v>92</c:v>
                </c:pt>
                <c:pt idx="216">
                  <c:v>94.059997999999993</c:v>
                </c:pt>
                <c:pt idx="217">
                  <c:v>93.050003000000004</c:v>
                </c:pt>
                <c:pt idx="218">
                  <c:v>96.540001000000004</c:v>
                </c:pt>
                <c:pt idx="219">
                  <c:v>94.599997999999999</c:v>
                </c:pt>
                <c:pt idx="220">
                  <c:v>87.18</c:v>
                </c:pt>
                <c:pt idx="221">
                  <c:v>91.269997000000004</c:v>
                </c:pt>
                <c:pt idx="222">
                  <c:v>90.230002999999996</c:v>
                </c:pt>
                <c:pt idx="223">
                  <c:v>93.080001999999993</c:v>
                </c:pt>
                <c:pt idx="224">
                  <c:v>95</c:v>
                </c:pt>
                <c:pt idx="225">
                  <c:v>95.82</c:v>
                </c:pt>
                <c:pt idx="226">
                  <c:v>95.160004000000001</c:v>
                </c:pt>
                <c:pt idx="227">
                  <c:v>97.699996999999996</c:v>
                </c:pt>
                <c:pt idx="228">
                  <c:v>96.360000999999997</c:v>
                </c:pt>
                <c:pt idx="229">
                  <c:v>98.360000999999997</c:v>
                </c:pt>
                <c:pt idx="230">
                  <c:v>100.790001</c:v>
                </c:pt>
                <c:pt idx="231">
                  <c:v>101.629997</c:v>
                </c:pt>
                <c:pt idx="232">
                  <c:v>100.129997</c:v>
                </c:pt>
                <c:pt idx="233">
                  <c:v>100.410004</c:v>
                </c:pt>
                <c:pt idx="234">
                  <c:v>98.610000999999997</c:v>
                </c:pt>
                <c:pt idx="235">
                  <c:v>101.160004</c:v>
                </c:pt>
                <c:pt idx="236">
                  <c:v>105.43</c:v>
                </c:pt>
                <c:pt idx="237">
                  <c:v>106.269997</c:v>
                </c:pt>
                <c:pt idx="238">
                  <c:v>107.68</c:v>
                </c:pt>
                <c:pt idx="239">
                  <c:v>108.040001</c:v>
                </c:pt>
                <c:pt idx="240">
                  <c:v>109</c:v>
                </c:pt>
                <c:pt idx="241">
                  <c:v>107.58000199999999</c:v>
                </c:pt>
                <c:pt idx="242">
                  <c:v>108.400002</c:v>
                </c:pt>
                <c:pt idx="243">
                  <c:v>112.33000199999999</c:v>
                </c:pt>
                <c:pt idx="244">
                  <c:v>108.209999</c:v>
                </c:pt>
                <c:pt idx="245">
                  <c:v>113.370003</c:v>
                </c:pt>
                <c:pt idx="246">
                  <c:v>114.260002</c:v>
                </c:pt>
                <c:pt idx="247">
                  <c:v>114.370003</c:v>
                </c:pt>
                <c:pt idx="248">
                  <c:v>112.129997</c:v>
                </c:pt>
                <c:pt idx="249">
                  <c:v>109.57</c:v>
                </c:pt>
                <c:pt idx="250">
                  <c:v>108.660004</c:v>
                </c:pt>
                <c:pt idx="251">
                  <c:v>106.959999</c:v>
                </c:pt>
                <c:pt idx="252">
                  <c:v>106.160004</c:v>
                </c:pt>
                <c:pt idx="253">
                  <c:v>109.57</c:v>
                </c:pt>
                <c:pt idx="254">
                  <c:v>108.290001</c:v>
                </c:pt>
                <c:pt idx="255">
                  <c:v>103.07</c:v>
                </c:pt>
                <c:pt idx="256">
                  <c:v>110.889999</c:v>
                </c:pt>
                <c:pt idx="257">
                  <c:v>104.82</c:v>
                </c:pt>
                <c:pt idx="258">
                  <c:v>106.029999</c:v>
                </c:pt>
                <c:pt idx="259">
                  <c:v>98.230002999999996</c:v>
                </c:pt>
                <c:pt idx="260">
                  <c:v>100.389999</c:v>
                </c:pt>
                <c:pt idx="261">
                  <c:v>101.57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5B-431E-8C15-87A765A54E68}"/>
            </c:ext>
          </c:extLst>
        </c:ser>
        <c:ser>
          <c:idx val="5"/>
          <c:order val="5"/>
          <c:tx>
            <c:strRef>
              <c:f>'Part 2'!$M$1</c:f>
              <c:strCache>
                <c:ptCount val="1"/>
                <c:pt idx="0">
                  <c:v>XOM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'Part 2'!$M$2:$M$263</c:f>
              <c:numCache>
                <c:formatCode>"$"#,##0.0000</c:formatCode>
                <c:ptCount val="262"/>
                <c:pt idx="0">
                  <c:v>99.510002</c:v>
                </c:pt>
                <c:pt idx="1">
                  <c:v>100.519997</c:v>
                </c:pt>
                <c:pt idx="2">
                  <c:v>99.160004000000001</c:v>
                </c:pt>
                <c:pt idx="3">
                  <c:v>94.849997999999999</c:v>
                </c:pt>
                <c:pt idx="4">
                  <c:v>92.160004000000001</c:v>
                </c:pt>
                <c:pt idx="5">
                  <c:v>90.580001999999993</c:v>
                </c:pt>
                <c:pt idx="6">
                  <c:v>94.110000999999997</c:v>
                </c:pt>
                <c:pt idx="7">
                  <c:v>95.029999000000004</c:v>
                </c:pt>
                <c:pt idx="8">
                  <c:v>96.269997000000004</c:v>
                </c:pt>
                <c:pt idx="9">
                  <c:v>94.989998</c:v>
                </c:pt>
                <c:pt idx="10">
                  <c:v>93.470000999999996</c:v>
                </c:pt>
                <c:pt idx="11">
                  <c:v>94.309997999999993</c:v>
                </c:pt>
                <c:pt idx="12">
                  <c:v>97.699996999999996</c:v>
                </c:pt>
                <c:pt idx="13">
                  <c:v>97.360000999999997</c:v>
                </c:pt>
                <c:pt idx="14">
                  <c:v>96.720000999999996</c:v>
                </c:pt>
                <c:pt idx="15">
                  <c:v>100.41999800000001</c:v>
                </c:pt>
                <c:pt idx="16">
                  <c:v>100.410004</c:v>
                </c:pt>
                <c:pt idx="17">
                  <c:v>102.010002</c:v>
                </c:pt>
                <c:pt idx="18">
                  <c:v>101.949997</c:v>
                </c:pt>
                <c:pt idx="19">
                  <c:v>100.739998</c:v>
                </c:pt>
                <c:pt idx="20">
                  <c:v>101.32</c:v>
                </c:pt>
                <c:pt idx="21">
                  <c:v>100.529999</c:v>
                </c:pt>
                <c:pt idx="22">
                  <c:v>101.599998</c:v>
                </c:pt>
                <c:pt idx="23">
                  <c:v>102.650002</c:v>
                </c:pt>
                <c:pt idx="24">
                  <c:v>103.83000199999999</c:v>
                </c:pt>
                <c:pt idx="25">
                  <c:v>101.209999</c:v>
                </c:pt>
                <c:pt idx="26">
                  <c:v>102.589996</c:v>
                </c:pt>
                <c:pt idx="27">
                  <c:v>101.739998</c:v>
                </c:pt>
                <c:pt idx="28">
                  <c:v>102.730003</c:v>
                </c:pt>
                <c:pt idx="29">
                  <c:v>103.18</c:v>
                </c:pt>
                <c:pt idx="30">
                  <c:v>98.800003000000004</c:v>
                </c:pt>
                <c:pt idx="31">
                  <c:v>99.739998</c:v>
                </c:pt>
                <c:pt idx="32">
                  <c:v>99.029999000000004</c:v>
                </c:pt>
                <c:pt idx="33">
                  <c:v>98.5</c:v>
                </c:pt>
                <c:pt idx="34">
                  <c:v>99.459998999999996</c:v>
                </c:pt>
                <c:pt idx="35">
                  <c:v>99.260002</c:v>
                </c:pt>
                <c:pt idx="36">
                  <c:v>95.779999000000004</c:v>
                </c:pt>
                <c:pt idx="37">
                  <c:v>97.120002999999997</c:v>
                </c:pt>
                <c:pt idx="38">
                  <c:v>95.43</c:v>
                </c:pt>
                <c:pt idx="39">
                  <c:v>93.919998000000007</c:v>
                </c:pt>
                <c:pt idx="40">
                  <c:v>91.599997999999999</c:v>
                </c:pt>
                <c:pt idx="41">
                  <c:v>91.209998999999996</c:v>
                </c:pt>
                <c:pt idx="42">
                  <c:v>94.489998</c:v>
                </c:pt>
                <c:pt idx="43">
                  <c:v>96.709998999999996</c:v>
                </c:pt>
                <c:pt idx="44">
                  <c:v>96.589995999999999</c:v>
                </c:pt>
                <c:pt idx="45">
                  <c:v>95.089995999999999</c:v>
                </c:pt>
                <c:pt idx="46">
                  <c:v>96.809997999999993</c:v>
                </c:pt>
                <c:pt idx="47">
                  <c:v>90.540001000000004</c:v>
                </c:pt>
                <c:pt idx="48">
                  <c:v>93.82</c:v>
                </c:pt>
                <c:pt idx="49">
                  <c:v>86.599997999999999</c:v>
                </c:pt>
                <c:pt idx="50">
                  <c:v>93.639999000000003</c:v>
                </c:pt>
                <c:pt idx="51">
                  <c:v>93.209998999999996</c:v>
                </c:pt>
                <c:pt idx="52">
                  <c:v>92.830001999999993</c:v>
                </c:pt>
                <c:pt idx="53">
                  <c:v>92.099997999999999</c:v>
                </c:pt>
                <c:pt idx="54">
                  <c:v>91.120002999999997</c:v>
                </c:pt>
                <c:pt idx="55">
                  <c:v>90.889999000000003</c:v>
                </c:pt>
                <c:pt idx="56">
                  <c:v>87.419998000000007</c:v>
                </c:pt>
                <c:pt idx="57">
                  <c:v>91.5</c:v>
                </c:pt>
                <c:pt idx="58">
                  <c:v>93.370002999999997</c:v>
                </c:pt>
                <c:pt idx="59">
                  <c:v>89.919998000000007</c:v>
                </c:pt>
                <c:pt idx="60">
                  <c:v>88.540001000000004</c:v>
                </c:pt>
                <c:pt idx="61">
                  <c:v>85.629997000000003</c:v>
                </c:pt>
                <c:pt idx="62">
                  <c:v>83.870002999999997</c:v>
                </c:pt>
                <c:pt idx="63">
                  <c:v>84.540001000000004</c:v>
                </c:pt>
                <c:pt idx="64">
                  <c:v>83.580001999999993</c:v>
                </c:pt>
                <c:pt idx="65">
                  <c:v>84.300003000000004</c:v>
                </c:pt>
                <c:pt idx="66">
                  <c:v>85.559997999999993</c:v>
                </c:pt>
                <c:pt idx="67">
                  <c:v>86.93</c:v>
                </c:pt>
                <c:pt idx="68">
                  <c:v>86.970000999999996</c:v>
                </c:pt>
                <c:pt idx="69">
                  <c:v>88.849997999999999</c:v>
                </c:pt>
                <c:pt idx="70">
                  <c:v>88.989998</c:v>
                </c:pt>
                <c:pt idx="71">
                  <c:v>87.349997999999999</c:v>
                </c:pt>
                <c:pt idx="72">
                  <c:v>86.519997000000004</c:v>
                </c:pt>
                <c:pt idx="73">
                  <c:v>85.199996999999996</c:v>
                </c:pt>
                <c:pt idx="74">
                  <c:v>84.279999000000004</c:v>
                </c:pt>
                <c:pt idx="75">
                  <c:v>84.019997000000004</c:v>
                </c:pt>
                <c:pt idx="76">
                  <c:v>85.209998999999996</c:v>
                </c:pt>
                <c:pt idx="77">
                  <c:v>83.860000999999997</c:v>
                </c:pt>
                <c:pt idx="78">
                  <c:v>83.139999000000003</c:v>
                </c:pt>
                <c:pt idx="79">
                  <c:v>82.220000999999996</c:v>
                </c:pt>
                <c:pt idx="80">
                  <c:v>82.610000999999997</c:v>
                </c:pt>
                <c:pt idx="81">
                  <c:v>79.940002000000007</c:v>
                </c:pt>
                <c:pt idx="82">
                  <c:v>79.209998999999996</c:v>
                </c:pt>
                <c:pt idx="83">
                  <c:v>76.830001999999993</c:v>
                </c:pt>
                <c:pt idx="84">
                  <c:v>78.360000999999997</c:v>
                </c:pt>
                <c:pt idx="85">
                  <c:v>72.129997000000003</c:v>
                </c:pt>
                <c:pt idx="86">
                  <c:v>75.069999999999993</c:v>
                </c:pt>
                <c:pt idx="87">
                  <c:v>72.459998999999996</c:v>
                </c:pt>
                <c:pt idx="88">
                  <c:v>72.690002000000007</c:v>
                </c:pt>
                <c:pt idx="89">
                  <c:v>72.680000000000007</c:v>
                </c:pt>
                <c:pt idx="90">
                  <c:v>73.230002999999996</c:v>
                </c:pt>
                <c:pt idx="91">
                  <c:v>75.879997000000003</c:v>
                </c:pt>
                <c:pt idx="92">
                  <c:v>79.260002</c:v>
                </c:pt>
                <c:pt idx="93">
                  <c:v>82.480002999999996</c:v>
                </c:pt>
                <c:pt idx="94">
                  <c:v>82.980002999999996</c:v>
                </c:pt>
                <c:pt idx="95">
                  <c:v>82.739998</c:v>
                </c:pt>
                <c:pt idx="96">
                  <c:v>84.470000999999996</c:v>
                </c:pt>
                <c:pt idx="97">
                  <c:v>78.099997999999999</c:v>
                </c:pt>
                <c:pt idx="98">
                  <c:v>79.790001000000004</c:v>
                </c:pt>
                <c:pt idx="99">
                  <c:v>81.230002999999996</c:v>
                </c:pt>
                <c:pt idx="100">
                  <c:v>78.860000999999997</c:v>
                </c:pt>
                <c:pt idx="101">
                  <c:v>74.339995999999999</c:v>
                </c:pt>
                <c:pt idx="102">
                  <c:v>77.279999000000004</c:v>
                </c:pt>
                <c:pt idx="103">
                  <c:v>79.330001999999993</c:v>
                </c:pt>
                <c:pt idx="104">
                  <c:v>77.949996999999996</c:v>
                </c:pt>
                <c:pt idx="105">
                  <c:v>74.690002000000007</c:v>
                </c:pt>
                <c:pt idx="106">
                  <c:v>77.580001999999993</c:v>
                </c:pt>
                <c:pt idx="107">
                  <c:v>76.569999999999993</c:v>
                </c:pt>
                <c:pt idx="108">
                  <c:v>77.849997999999999</c:v>
                </c:pt>
                <c:pt idx="109">
                  <c:v>80.080001999999993</c:v>
                </c:pt>
                <c:pt idx="110">
                  <c:v>81.029999000000004</c:v>
                </c:pt>
                <c:pt idx="111">
                  <c:v>82.5</c:v>
                </c:pt>
                <c:pt idx="112">
                  <c:v>81.75</c:v>
                </c:pt>
                <c:pt idx="113">
                  <c:v>82.290001000000004</c:v>
                </c:pt>
                <c:pt idx="114">
                  <c:v>82.190002000000007</c:v>
                </c:pt>
                <c:pt idx="115">
                  <c:v>84.199996999999996</c:v>
                </c:pt>
                <c:pt idx="116">
                  <c:v>83.980002999999996</c:v>
                </c:pt>
                <c:pt idx="117">
                  <c:v>82.959998999999996</c:v>
                </c:pt>
                <c:pt idx="118">
                  <c:v>83.209998999999996</c:v>
                </c:pt>
                <c:pt idx="119">
                  <c:v>84.970000999999996</c:v>
                </c:pt>
                <c:pt idx="120">
                  <c:v>87.529999000000004</c:v>
                </c:pt>
                <c:pt idx="121">
                  <c:v>88.400002000000001</c:v>
                </c:pt>
                <c:pt idx="122">
                  <c:v>88.510002</c:v>
                </c:pt>
                <c:pt idx="123">
                  <c:v>88.660004000000001</c:v>
                </c:pt>
                <c:pt idx="124">
                  <c:v>89.739998</c:v>
                </c:pt>
                <c:pt idx="125">
                  <c:v>90.010002</c:v>
                </c:pt>
                <c:pt idx="126">
                  <c:v>88.370002999999997</c:v>
                </c:pt>
                <c:pt idx="127">
                  <c:v>89.980002999999996</c:v>
                </c:pt>
                <c:pt idx="128">
                  <c:v>90.720000999999996</c:v>
                </c:pt>
                <c:pt idx="129">
                  <c:v>89.389999000000003</c:v>
                </c:pt>
                <c:pt idx="130">
                  <c:v>93.839995999999999</c:v>
                </c:pt>
                <c:pt idx="131">
                  <c:v>93.540001000000004</c:v>
                </c:pt>
                <c:pt idx="132">
                  <c:v>95.120002999999997</c:v>
                </c:pt>
                <c:pt idx="133">
                  <c:v>94.010002</c:v>
                </c:pt>
                <c:pt idx="134">
                  <c:v>88.949996999999996</c:v>
                </c:pt>
                <c:pt idx="135">
                  <c:v>87.559997999999993</c:v>
                </c:pt>
                <c:pt idx="136">
                  <c:v>87.849997999999999</c:v>
                </c:pt>
                <c:pt idx="137">
                  <c:v>87.800003000000004</c:v>
                </c:pt>
                <c:pt idx="138">
                  <c:v>87.269997000000004</c:v>
                </c:pt>
                <c:pt idx="139">
                  <c:v>87.419998000000007</c:v>
                </c:pt>
                <c:pt idx="140">
                  <c:v>86.839995999999999</c:v>
                </c:pt>
                <c:pt idx="141">
                  <c:v>84.029999000000004</c:v>
                </c:pt>
                <c:pt idx="142">
                  <c:v>83.449996999999996</c:v>
                </c:pt>
                <c:pt idx="143">
                  <c:v>87.279999000000004</c:v>
                </c:pt>
                <c:pt idx="144">
                  <c:v>86.739998</c:v>
                </c:pt>
                <c:pt idx="145">
                  <c:v>86.540001000000004</c:v>
                </c:pt>
                <c:pt idx="146">
                  <c:v>86.620002999999997</c:v>
                </c:pt>
                <c:pt idx="147">
                  <c:v>84.779999000000004</c:v>
                </c:pt>
                <c:pt idx="148">
                  <c:v>83.57</c:v>
                </c:pt>
                <c:pt idx="149">
                  <c:v>85.669998000000007</c:v>
                </c:pt>
                <c:pt idx="150">
                  <c:v>85.279999000000004</c:v>
                </c:pt>
                <c:pt idx="151">
                  <c:v>87.120002999999997</c:v>
                </c:pt>
                <c:pt idx="152">
                  <c:v>87.040001000000004</c:v>
                </c:pt>
                <c:pt idx="153">
                  <c:v>89</c:v>
                </c:pt>
                <c:pt idx="154">
                  <c:v>91.18</c:v>
                </c:pt>
                <c:pt idx="155">
                  <c:v>90.709998999999996</c:v>
                </c:pt>
                <c:pt idx="156">
                  <c:v>90.260002</c:v>
                </c:pt>
                <c:pt idx="157">
                  <c:v>88.5</c:v>
                </c:pt>
                <c:pt idx="158">
                  <c:v>86.349997999999999</c:v>
                </c:pt>
                <c:pt idx="159">
                  <c:v>85.889999000000003</c:v>
                </c:pt>
                <c:pt idx="160">
                  <c:v>85.510002</c:v>
                </c:pt>
                <c:pt idx="161">
                  <c:v>83.540001000000004</c:v>
                </c:pt>
                <c:pt idx="162">
                  <c:v>82.519997000000004</c:v>
                </c:pt>
                <c:pt idx="163">
                  <c:v>81.760002</c:v>
                </c:pt>
                <c:pt idx="164">
                  <c:v>81.080001999999993</c:v>
                </c:pt>
                <c:pt idx="165">
                  <c:v>82.459998999999996</c:v>
                </c:pt>
                <c:pt idx="166">
                  <c:v>81.610000999999997</c:v>
                </c:pt>
                <c:pt idx="167">
                  <c:v>82</c:v>
                </c:pt>
                <c:pt idx="168">
                  <c:v>81.230002999999996</c:v>
                </c:pt>
                <c:pt idx="169">
                  <c:v>82.010002</c:v>
                </c:pt>
                <c:pt idx="170">
                  <c:v>82.760002</c:v>
                </c:pt>
                <c:pt idx="171">
                  <c:v>81.690002000000007</c:v>
                </c:pt>
                <c:pt idx="172">
                  <c:v>80.690002000000007</c:v>
                </c:pt>
                <c:pt idx="173">
                  <c:v>81.650002000000001</c:v>
                </c:pt>
                <c:pt idx="174">
                  <c:v>82.019997000000004</c:v>
                </c:pt>
                <c:pt idx="175">
                  <c:v>82.550003000000004</c:v>
                </c:pt>
                <c:pt idx="176">
                  <c:v>81.93</c:v>
                </c:pt>
                <c:pt idx="177">
                  <c:v>81.550003000000004</c:v>
                </c:pt>
                <c:pt idx="178">
                  <c:v>79.5</c:v>
                </c:pt>
                <c:pt idx="179">
                  <c:v>82.129997000000003</c:v>
                </c:pt>
                <c:pt idx="180">
                  <c:v>83.489998</c:v>
                </c:pt>
                <c:pt idx="181">
                  <c:v>81.610000999999997</c:v>
                </c:pt>
                <c:pt idx="182">
                  <c:v>80.730002999999996</c:v>
                </c:pt>
                <c:pt idx="183">
                  <c:v>80.220000999999996</c:v>
                </c:pt>
                <c:pt idx="184">
                  <c:v>81.279999000000004</c:v>
                </c:pt>
                <c:pt idx="185">
                  <c:v>80.120002999999997</c:v>
                </c:pt>
                <c:pt idx="186">
                  <c:v>79.599997999999999</c:v>
                </c:pt>
                <c:pt idx="187">
                  <c:v>80.209998999999996</c:v>
                </c:pt>
                <c:pt idx="188">
                  <c:v>78.209998999999996</c:v>
                </c:pt>
                <c:pt idx="189">
                  <c:v>76.639999000000003</c:v>
                </c:pt>
                <c:pt idx="190">
                  <c:v>76.720000999999996</c:v>
                </c:pt>
                <c:pt idx="191">
                  <c:v>76.569999999999993</c:v>
                </c:pt>
                <c:pt idx="192">
                  <c:v>78.819999999999993</c:v>
                </c:pt>
                <c:pt idx="193">
                  <c:v>80.069999999999993</c:v>
                </c:pt>
                <c:pt idx="194">
                  <c:v>79.919998000000007</c:v>
                </c:pt>
                <c:pt idx="195">
                  <c:v>81.980002999999996</c:v>
                </c:pt>
                <c:pt idx="196">
                  <c:v>81.709998999999996</c:v>
                </c:pt>
                <c:pt idx="197">
                  <c:v>82.410004000000001</c:v>
                </c:pt>
                <c:pt idx="198">
                  <c:v>83.110000999999997</c:v>
                </c:pt>
                <c:pt idx="199">
                  <c:v>83.709998999999996</c:v>
                </c:pt>
                <c:pt idx="200">
                  <c:v>83.18</c:v>
                </c:pt>
                <c:pt idx="201">
                  <c:v>82.940002000000007</c:v>
                </c:pt>
                <c:pt idx="202">
                  <c:v>80.239998</c:v>
                </c:pt>
                <c:pt idx="203">
                  <c:v>81.419998000000007</c:v>
                </c:pt>
                <c:pt idx="204">
                  <c:v>83.459998999999996</c:v>
                </c:pt>
                <c:pt idx="205">
                  <c:v>82.660004000000001</c:v>
                </c:pt>
                <c:pt idx="206">
                  <c:v>83.029999000000004</c:v>
                </c:pt>
                <c:pt idx="207">
                  <c:v>83.970000999999996</c:v>
                </c:pt>
                <c:pt idx="208">
                  <c:v>83.639999000000003</c:v>
                </c:pt>
                <c:pt idx="209">
                  <c:v>86.75</c:v>
                </c:pt>
                <c:pt idx="210">
                  <c:v>87.519997000000004</c:v>
                </c:pt>
                <c:pt idx="211">
                  <c:v>87.150002000000001</c:v>
                </c:pt>
                <c:pt idx="212">
                  <c:v>89</c:v>
                </c:pt>
                <c:pt idx="213">
                  <c:v>84.529999000000004</c:v>
                </c:pt>
                <c:pt idx="214">
                  <c:v>75.779999000000004</c:v>
                </c:pt>
                <c:pt idx="215">
                  <c:v>76.540001000000004</c:v>
                </c:pt>
                <c:pt idx="216">
                  <c:v>77.529999000000004</c:v>
                </c:pt>
                <c:pt idx="217">
                  <c:v>75.550003000000004</c:v>
                </c:pt>
                <c:pt idx="218">
                  <c:v>74.559997999999993</c:v>
                </c:pt>
                <c:pt idx="219">
                  <c:v>75.120002999999997</c:v>
                </c:pt>
                <c:pt idx="220">
                  <c:v>72.889999000000003</c:v>
                </c:pt>
                <c:pt idx="221">
                  <c:v>74.610000999999997</c:v>
                </c:pt>
                <c:pt idx="222">
                  <c:v>74.870002999999997</c:v>
                </c:pt>
                <c:pt idx="223">
                  <c:v>77.839995999999999</c:v>
                </c:pt>
                <c:pt idx="224">
                  <c:v>79</c:v>
                </c:pt>
                <c:pt idx="225">
                  <c:v>77.790001000000004</c:v>
                </c:pt>
                <c:pt idx="226">
                  <c:v>76.900002000000001</c:v>
                </c:pt>
                <c:pt idx="227">
                  <c:v>81.279999000000004</c:v>
                </c:pt>
                <c:pt idx="228">
                  <c:v>81.300003000000004</c:v>
                </c:pt>
                <c:pt idx="229">
                  <c:v>78.709998999999996</c:v>
                </c:pt>
                <c:pt idx="230">
                  <c:v>81.830001999999993</c:v>
                </c:pt>
                <c:pt idx="231">
                  <c:v>83.599997999999999</c:v>
                </c:pt>
                <c:pt idx="232">
                  <c:v>80.660004000000001</c:v>
                </c:pt>
                <c:pt idx="233">
                  <c:v>81.379997000000003</c:v>
                </c:pt>
                <c:pt idx="234">
                  <c:v>82.730002999999996</c:v>
                </c:pt>
                <c:pt idx="235">
                  <c:v>82.330001999999993</c:v>
                </c:pt>
                <c:pt idx="236">
                  <c:v>83.309997999999993</c:v>
                </c:pt>
                <c:pt idx="237">
                  <c:v>81.400002000000001</c:v>
                </c:pt>
                <c:pt idx="238">
                  <c:v>81.919998000000007</c:v>
                </c:pt>
                <c:pt idx="239">
                  <c:v>80.199996999999996</c:v>
                </c:pt>
                <c:pt idx="240">
                  <c:v>79.419998000000007</c:v>
                </c:pt>
                <c:pt idx="241">
                  <c:v>78.260002</c:v>
                </c:pt>
                <c:pt idx="242">
                  <c:v>79.620002999999997</c:v>
                </c:pt>
                <c:pt idx="243">
                  <c:v>80.169998000000007</c:v>
                </c:pt>
                <c:pt idx="244">
                  <c:v>81.830001999999993</c:v>
                </c:pt>
                <c:pt idx="245">
                  <c:v>82.919998000000007</c:v>
                </c:pt>
                <c:pt idx="246">
                  <c:v>85.169998000000007</c:v>
                </c:pt>
                <c:pt idx="247">
                  <c:v>85.019997000000004</c:v>
                </c:pt>
                <c:pt idx="248">
                  <c:v>85.339995999999999</c:v>
                </c:pt>
                <c:pt idx="249">
                  <c:v>81.379997000000003</c:v>
                </c:pt>
                <c:pt idx="250">
                  <c:v>81.970000999999996</c:v>
                </c:pt>
                <c:pt idx="251">
                  <c:v>77.529999000000004</c:v>
                </c:pt>
                <c:pt idx="252">
                  <c:v>81.949996999999996</c:v>
                </c:pt>
                <c:pt idx="253">
                  <c:v>80.870002999999997</c:v>
                </c:pt>
                <c:pt idx="254">
                  <c:v>78.959998999999996</c:v>
                </c:pt>
                <c:pt idx="255">
                  <c:v>75.489998</c:v>
                </c:pt>
                <c:pt idx="256">
                  <c:v>79.5</c:v>
                </c:pt>
                <c:pt idx="257">
                  <c:v>77.639999000000003</c:v>
                </c:pt>
                <c:pt idx="258">
                  <c:v>75.580001999999993</c:v>
                </c:pt>
                <c:pt idx="259">
                  <c:v>68.120002999999997</c:v>
                </c:pt>
                <c:pt idx="260">
                  <c:v>68.169998000000007</c:v>
                </c:pt>
                <c:pt idx="261">
                  <c:v>68.190002000000007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5B-431E-8C15-87A765A54E68}"/>
            </c:ext>
          </c:extLst>
        </c:ser>
        <c:ser>
          <c:idx val="6"/>
          <c:order val="6"/>
          <c:tx>
            <c:strRef>
              <c:f>'Part 2'!$O$1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'Part 2'!$O$2:$O$263</c:f>
              <c:numCache>
                <c:formatCode>"$"#,##0.0000</c:formatCode>
                <c:ptCount val="262"/>
                <c:pt idx="0">
                  <c:v>55.290000999999997</c:v>
                </c:pt>
                <c:pt idx="1">
                  <c:v>55.282501000000003</c:v>
                </c:pt>
                <c:pt idx="2">
                  <c:v>58.044998</c:v>
                </c:pt>
                <c:pt idx="3">
                  <c:v>55.3125</c:v>
                </c:pt>
                <c:pt idx="4">
                  <c:v>53.857498</c:v>
                </c:pt>
                <c:pt idx="5">
                  <c:v>55.445</c:v>
                </c:pt>
                <c:pt idx="6">
                  <c:v>56.5</c:v>
                </c:pt>
                <c:pt idx="7">
                  <c:v>55.84</c:v>
                </c:pt>
                <c:pt idx="8">
                  <c:v>56.485000999999997</c:v>
                </c:pt>
                <c:pt idx="9">
                  <c:v>56.389999000000003</c:v>
                </c:pt>
                <c:pt idx="10">
                  <c:v>55.192501</c:v>
                </c:pt>
                <c:pt idx="11">
                  <c:v>55.842498999999997</c:v>
                </c:pt>
                <c:pt idx="12">
                  <c:v>53.022499000000003</c:v>
                </c:pt>
                <c:pt idx="13">
                  <c:v>51.924999</c:v>
                </c:pt>
                <c:pt idx="14">
                  <c:v>49.157501000000003</c:v>
                </c:pt>
                <c:pt idx="15">
                  <c:v>51.987499</c:v>
                </c:pt>
                <c:pt idx="16">
                  <c:v>49.732498</c:v>
                </c:pt>
                <c:pt idx="17">
                  <c:v>51.104999999999997</c:v>
                </c:pt>
                <c:pt idx="18">
                  <c:v>52.702499000000003</c:v>
                </c:pt>
                <c:pt idx="19">
                  <c:v>52.452499000000003</c:v>
                </c:pt>
                <c:pt idx="20">
                  <c:v>53.017502</c:v>
                </c:pt>
                <c:pt idx="21">
                  <c:v>53.707500000000003</c:v>
                </c:pt>
                <c:pt idx="22">
                  <c:v>53.25</c:v>
                </c:pt>
                <c:pt idx="23">
                  <c:v>52.822498000000003</c:v>
                </c:pt>
                <c:pt idx="24">
                  <c:v>52.372501</c:v>
                </c:pt>
                <c:pt idx="25">
                  <c:v>52.32</c:v>
                </c:pt>
                <c:pt idx="26">
                  <c:v>54.127499</c:v>
                </c:pt>
                <c:pt idx="27">
                  <c:v>54.25</c:v>
                </c:pt>
                <c:pt idx="28">
                  <c:v>55.049999</c:v>
                </c:pt>
                <c:pt idx="29">
                  <c:v>53.692501</c:v>
                </c:pt>
                <c:pt idx="30">
                  <c:v>52.952499000000003</c:v>
                </c:pt>
                <c:pt idx="31">
                  <c:v>52.615001999999997</c:v>
                </c:pt>
                <c:pt idx="32">
                  <c:v>52.547500999999997</c:v>
                </c:pt>
                <c:pt idx="33">
                  <c:v>54.022499000000003</c:v>
                </c:pt>
                <c:pt idx="34">
                  <c:v>53.130001</c:v>
                </c:pt>
                <c:pt idx="35">
                  <c:v>53.552501999999997</c:v>
                </c:pt>
                <c:pt idx="36">
                  <c:v>53.509998000000003</c:v>
                </c:pt>
                <c:pt idx="37">
                  <c:v>54.0625</c:v>
                </c:pt>
                <c:pt idx="38">
                  <c:v>52.985000999999997</c:v>
                </c:pt>
                <c:pt idx="39">
                  <c:v>52.997501</c:v>
                </c:pt>
                <c:pt idx="40">
                  <c:v>51.244999</c:v>
                </c:pt>
                <c:pt idx="41">
                  <c:v>51.5</c:v>
                </c:pt>
                <c:pt idx="42">
                  <c:v>53.369999</c:v>
                </c:pt>
                <c:pt idx="43">
                  <c:v>60.357498</c:v>
                </c:pt>
                <c:pt idx="44">
                  <c:v>63.107498</c:v>
                </c:pt>
                <c:pt idx="45">
                  <c:v>62.209999000000003</c:v>
                </c:pt>
                <c:pt idx="46">
                  <c:v>63.555</c:v>
                </c:pt>
                <c:pt idx="47">
                  <c:v>64.547500999999997</c:v>
                </c:pt>
                <c:pt idx="48">
                  <c:v>65.837502000000001</c:v>
                </c:pt>
                <c:pt idx="49">
                  <c:v>64.194999999999993</c:v>
                </c:pt>
                <c:pt idx="50">
                  <c:v>65.417502999999996</c:v>
                </c:pt>
                <c:pt idx="51">
                  <c:v>66.654999000000004</c:v>
                </c:pt>
                <c:pt idx="52">
                  <c:v>66.254997000000003</c:v>
                </c:pt>
                <c:pt idx="53">
                  <c:v>65.132499999999993</c:v>
                </c:pt>
                <c:pt idx="54">
                  <c:v>63.737499</c:v>
                </c:pt>
                <c:pt idx="55">
                  <c:v>64.572502</c:v>
                </c:pt>
                <c:pt idx="56">
                  <c:v>63.727500999999997</c:v>
                </c:pt>
                <c:pt idx="57">
                  <c:v>66.855002999999996</c:v>
                </c:pt>
                <c:pt idx="58">
                  <c:v>67.407500999999996</c:v>
                </c:pt>
                <c:pt idx="59">
                  <c:v>68.25</c:v>
                </c:pt>
                <c:pt idx="60">
                  <c:v>67.827499000000003</c:v>
                </c:pt>
                <c:pt idx="61">
                  <c:v>67.334998999999996</c:v>
                </c:pt>
                <c:pt idx="62">
                  <c:v>66.257499999999993</c:v>
                </c:pt>
                <c:pt idx="63">
                  <c:v>67.410004000000001</c:v>
                </c:pt>
                <c:pt idx="64">
                  <c:v>65.540001000000004</c:v>
                </c:pt>
                <c:pt idx="65">
                  <c:v>65.290001000000004</c:v>
                </c:pt>
                <c:pt idx="66">
                  <c:v>66.339995999999999</c:v>
                </c:pt>
                <c:pt idx="67">
                  <c:v>64.519997000000004</c:v>
                </c:pt>
                <c:pt idx="68">
                  <c:v>67.480002999999996</c:v>
                </c:pt>
                <c:pt idx="69">
                  <c:v>65.769997000000004</c:v>
                </c:pt>
                <c:pt idx="70">
                  <c:v>69.470000999999996</c:v>
                </c:pt>
                <c:pt idx="71">
                  <c:v>69.569999999999993</c:v>
                </c:pt>
                <c:pt idx="72">
                  <c:v>69.620002999999997</c:v>
                </c:pt>
                <c:pt idx="73">
                  <c:v>68.680000000000007</c:v>
                </c:pt>
                <c:pt idx="74">
                  <c:v>68.370002999999997</c:v>
                </c:pt>
                <c:pt idx="75">
                  <c:v>69.330001999999993</c:v>
                </c:pt>
                <c:pt idx="76">
                  <c:v>68.690002000000007</c:v>
                </c:pt>
                <c:pt idx="77">
                  <c:v>68.75</c:v>
                </c:pt>
                <c:pt idx="78">
                  <c:v>68.239998</c:v>
                </c:pt>
                <c:pt idx="79">
                  <c:v>68.419998000000007</c:v>
                </c:pt>
                <c:pt idx="80">
                  <c:v>70.879997000000003</c:v>
                </c:pt>
                <c:pt idx="81">
                  <c:v>74.800003000000004</c:v>
                </c:pt>
                <c:pt idx="82">
                  <c:v>75.339995999999999</c:v>
                </c:pt>
                <c:pt idx="83">
                  <c:v>74.209998999999996</c:v>
                </c:pt>
                <c:pt idx="84">
                  <c:v>74.220000999999996</c:v>
                </c:pt>
                <c:pt idx="85">
                  <c:v>71.190002000000007</c:v>
                </c:pt>
                <c:pt idx="86">
                  <c:v>72.459998999999996</c:v>
                </c:pt>
                <c:pt idx="87">
                  <c:v>69.160004000000001</c:v>
                </c:pt>
                <c:pt idx="88">
                  <c:v>70.760002</c:v>
                </c:pt>
                <c:pt idx="89">
                  <c:v>69.790001000000004</c:v>
                </c:pt>
                <c:pt idx="90">
                  <c:v>70.690002000000007</c:v>
                </c:pt>
                <c:pt idx="91">
                  <c:v>70.669998000000007</c:v>
                </c:pt>
                <c:pt idx="92">
                  <c:v>73.980002999999996</c:v>
                </c:pt>
                <c:pt idx="93">
                  <c:v>76</c:v>
                </c:pt>
                <c:pt idx="94">
                  <c:v>77.069999999999993</c:v>
                </c:pt>
                <c:pt idx="95">
                  <c:v>77.580001999999993</c:v>
                </c:pt>
                <c:pt idx="96">
                  <c:v>78.75</c:v>
                </c:pt>
                <c:pt idx="97">
                  <c:v>78.110000999999997</c:v>
                </c:pt>
                <c:pt idx="98">
                  <c:v>80.190002000000007</c:v>
                </c:pt>
                <c:pt idx="99">
                  <c:v>79.839995999999999</c:v>
                </c:pt>
                <c:pt idx="100">
                  <c:v>80.400002000000001</c:v>
                </c:pt>
                <c:pt idx="101">
                  <c:v>76.110000999999997</c:v>
                </c:pt>
                <c:pt idx="102">
                  <c:v>76.319999999999993</c:v>
                </c:pt>
                <c:pt idx="103">
                  <c:v>78.260002</c:v>
                </c:pt>
                <c:pt idx="104">
                  <c:v>77.550003000000004</c:v>
                </c:pt>
                <c:pt idx="105">
                  <c:v>72.879997000000003</c:v>
                </c:pt>
                <c:pt idx="106">
                  <c:v>71.830001999999993</c:v>
                </c:pt>
                <c:pt idx="107">
                  <c:v>72.699996999999996</c:v>
                </c:pt>
                <c:pt idx="108">
                  <c:v>74.489998</c:v>
                </c:pt>
                <c:pt idx="109">
                  <c:v>71.540001000000004</c:v>
                </c:pt>
                <c:pt idx="110">
                  <c:v>70.419998000000007</c:v>
                </c:pt>
                <c:pt idx="111">
                  <c:v>71.529999000000004</c:v>
                </c:pt>
                <c:pt idx="112">
                  <c:v>72.730002999999996</c:v>
                </c:pt>
                <c:pt idx="113">
                  <c:v>73.900002000000001</c:v>
                </c:pt>
                <c:pt idx="114">
                  <c:v>71.629997000000003</c:v>
                </c:pt>
                <c:pt idx="115">
                  <c:v>73.779999000000004</c:v>
                </c:pt>
                <c:pt idx="116">
                  <c:v>74.139999000000003</c:v>
                </c:pt>
                <c:pt idx="117">
                  <c:v>77.589995999999999</c:v>
                </c:pt>
                <c:pt idx="118">
                  <c:v>78.029999000000004</c:v>
                </c:pt>
                <c:pt idx="119">
                  <c:v>80.080001999999993</c:v>
                </c:pt>
                <c:pt idx="120">
                  <c:v>79.110000999999997</c:v>
                </c:pt>
                <c:pt idx="121">
                  <c:v>77.239998</c:v>
                </c:pt>
                <c:pt idx="122">
                  <c:v>77.720000999999996</c:v>
                </c:pt>
                <c:pt idx="123">
                  <c:v>76.830001999999993</c:v>
                </c:pt>
                <c:pt idx="124">
                  <c:v>77.669998000000007</c:v>
                </c:pt>
                <c:pt idx="125">
                  <c:v>79.660004000000001</c:v>
                </c:pt>
                <c:pt idx="126">
                  <c:v>79.940002000000007</c:v>
                </c:pt>
                <c:pt idx="127">
                  <c:v>80.180000000000007</c:v>
                </c:pt>
                <c:pt idx="128">
                  <c:v>76.989998</c:v>
                </c:pt>
                <c:pt idx="129">
                  <c:v>75.050003000000004</c:v>
                </c:pt>
                <c:pt idx="130">
                  <c:v>74.480002999999996</c:v>
                </c:pt>
                <c:pt idx="131">
                  <c:v>76.419998000000007</c:v>
                </c:pt>
                <c:pt idx="132">
                  <c:v>78.300003000000004</c:v>
                </c:pt>
                <c:pt idx="133">
                  <c:v>79.910004000000001</c:v>
                </c:pt>
                <c:pt idx="134">
                  <c:v>78.050003000000004</c:v>
                </c:pt>
                <c:pt idx="135">
                  <c:v>80.139999000000003</c:v>
                </c:pt>
                <c:pt idx="136">
                  <c:v>80.019997000000004</c:v>
                </c:pt>
                <c:pt idx="137">
                  <c:v>80.470000999999996</c:v>
                </c:pt>
                <c:pt idx="138">
                  <c:v>80.569999999999993</c:v>
                </c:pt>
                <c:pt idx="139">
                  <c:v>82</c:v>
                </c:pt>
                <c:pt idx="140">
                  <c:v>81.330001999999993</c:v>
                </c:pt>
                <c:pt idx="141">
                  <c:v>82.07</c:v>
                </c:pt>
                <c:pt idx="142">
                  <c:v>82.540001000000004</c:v>
                </c:pt>
                <c:pt idx="143">
                  <c:v>82.699996999999996</c:v>
                </c:pt>
                <c:pt idx="144">
                  <c:v>82.879997000000003</c:v>
                </c:pt>
                <c:pt idx="145">
                  <c:v>82.449996999999996</c:v>
                </c:pt>
                <c:pt idx="146">
                  <c:v>82.349997999999999</c:v>
                </c:pt>
                <c:pt idx="147">
                  <c:v>82.220000999999996</c:v>
                </c:pt>
                <c:pt idx="148">
                  <c:v>80.360000999999997</c:v>
                </c:pt>
                <c:pt idx="149">
                  <c:v>81.879997000000003</c:v>
                </c:pt>
                <c:pt idx="150">
                  <c:v>80.819999999999993</c:v>
                </c:pt>
                <c:pt idx="151">
                  <c:v>80.129997000000003</c:v>
                </c:pt>
                <c:pt idx="152">
                  <c:v>75.720000999999996</c:v>
                </c:pt>
                <c:pt idx="153">
                  <c:v>79.139999000000003</c:v>
                </c:pt>
                <c:pt idx="154">
                  <c:v>78.349997999999999</c:v>
                </c:pt>
                <c:pt idx="155">
                  <c:v>78.150002000000001</c:v>
                </c:pt>
                <c:pt idx="156">
                  <c:v>78.019997000000004</c:v>
                </c:pt>
                <c:pt idx="157">
                  <c:v>82.209998999999996</c:v>
                </c:pt>
                <c:pt idx="158">
                  <c:v>81.169998000000007</c:v>
                </c:pt>
                <c:pt idx="159">
                  <c:v>81.839995999999999</c:v>
                </c:pt>
                <c:pt idx="160">
                  <c:v>83.769997000000004</c:v>
                </c:pt>
                <c:pt idx="161">
                  <c:v>86.080001999999993</c:v>
                </c:pt>
                <c:pt idx="162">
                  <c:v>85.900002000000001</c:v>
                </c:pt>
                <c:pt idx="163">
                  <c:v>87.459998999999996</c:v>
                </c:pt>
                <c:pt idx="164">
                  <c:v>88.43</c:v>
                </c:pt>
                <c:pt idx="165">
                  <c:v>88.790001000000004</c:v>
                </c:pt>
                <c:pt idx="166">
                  <c:v>89.730002999999996</c:v>
                </c:pt>
                <c:pt idx="167">
                  <c:v>90.239998</c:v>
                </c:pt>
                <c:pt idx="168">
                  <c:v>89.190002000000007</c:v>
                </c:pt>
                <c:pt idx="169">
                  <c:v>88.870002999999997</c:v>
                </c:pt>
                <c:pt idx="170">
                  <c:v>88.739998</c:v>
                </c:pt>
                <c:pt idx="171">
                  <c:v>88.870002999999997</c:v>
                </c:pt>
                <c:pt idx="172">
                  <c:v>91.150002000000001</c:v>
                </c:pt>
                <c:pt idx="173">
                  <c:v>91.220000999999996</c:v>
                </c:pt>
                <c:pt idx="174">
                  <c:v>92.089995999999999</c:v>
                </c:pt>
                <c:pt idx="175">
                  <c:v>92.730002999999996</c:v>
                </c:pt>
                <c:pt idx="176">
                  <c:v>92.480002999999996</c:v>
                </c:pt>
                <c:pt idx="177">
                  <c:v>94.669998000000007</c:v>
                </c:pt>
                <c:pt idx="178">
                  <c:v>96.150002000000001</c:v>
                </c:pt>
                <c:pt idx="179">
                  <c:v>94.559997999999993</c:v>
                </c:pt>
                <c:pt idx="180">
                  <c:v>94.169998000000007</c:v>
                </c:pt>
                <c:pt idx="181">
                  <c:v>95.580001999999993</c:v>
                </c:pt>
                <c:pt idx="182">
                  <c:v>93.779999000000004</c:v>
                </c:pt>
                <c:pt idx="183">
                  <c:v>93.919998000000007</c:v>
                </c:pt>
                <c:pt idx="184">
                  <c:v>96.93</c:v>
                </c:pt>
                <c:pt idx="185">
                  <c:v>99.599997999999999</c:v>
                </c:pt>
                <c:pt idx="186">
                  <c:v>99.150002000000001</c:v>
                </c:pt>
                <c:pt idx="187">
                  <c:v>100.889999</c:v>
                </c:pt>
                <c:pt idx="188">
                  <c:v>100.089996</c:v>
                </c:pt>
                <c:pt idx="189">
                  <c:v>102.510002</c:v>
                </c:pt>
                <c:pt idx="190">
                  <c:v>103.349998</c:v>
                </c:pt>
                <c:pt idx="191">
                  <c:v>103.900002</c:v>
                </c:pt>
                <c:pt idx="192">
                  <c:v>104.43</c:v>
                </c:pt>
                <c:pt idx="193">
                  <c:v>105.300003</c:v>
                </c:pt>
                <c:pt idx="194">
                  <c:v>105.55999799999999</c:v>
                </c:pt>
                <c:pt idx="195">
                  <c:v>105.239998</c:v>
                </c:pt>
                <c:pt idx="196">
                  <c:v>106.730003</c:v>
                </c:pt>
                <c:pt idx="197">
                  <c:v>108.660004</c:v>
                </c:pt>
                <c:pt idx="198">
                  <c:v>107.550003</c:v>
                </c:pt>
                <c:pt idx="199">
                  <c:v>109.709999</c:v>
                </c:pt>
                <c:pt idx="200">
                  <c:v>111.360001</c:v>
                </c:pt>
                <c:pt idx="201">
                  <c:v>111.879997</c:v>
                </c:pt>
                <c:pt idx="202">
                  <c:v>109.82</c:v>
                </c:pt>
                <c:pt idx="203">
                  <c:v>111.970001</c:v>
                </c:pt>
                <c:pt idx="204">
                  <c:v>110.730003</c:v>
                </c:pt>
                <c:pt idx="205">
                  <c:v>112.599998</c:v>
                </c:pt>
                <c:pt idx="206">
                  <c:v>113.82</c:v>
                </c:pt>
                <c:pt idx="207">
                  <c:v>112.69000200000001</c:v>
                </c:pt>
                <c:pt idx="208">
                  <c:v>114.019997</c:v>
                </c:pt>
                <c:pt idx="209">
                  <c:v>118.860001</c:v>
                </c:pt>
                <c:pt idx="210">
                  <c:v>120.089996</c:v>
                </c:pt>
                <c:pt idx="211">
                  <c:v>122.699997</c:v>
                </c:pt>
                <c:pt idx="212">
                  <c:v>126.32</c:v>
                </c:pt>
                <c:pt idx="213">
                  <c:v>120.910004</c:v>
                </c:pt>
                <c:pt idx="214">
                  <c:v>116.32</c:v>
                </c:pt>
                <c:pt idx="215">
                  <c:v>121.849998</c:v>
                </c:pt>
                <c:pt idx="216">
                  <c:v>122.93</c:v>
                </c:pt>
                <c:pt idx="217">
                  <c:v>120.769997</c:v>
                </c:pt>
                <c:pt idx="218">
                  <c:v>124.510002</c:v>
                </c:pt>
                <c:pt idx="219">
                  <c:v>124.529999</c:v>
                </c:pt>
                <c:pt idx="220">
                  <c:v>117</c:v>
                </c:pt>
                <c:pt idx="221">
                  <c:v>119.620003</c:v>
                </c:pt>
                <c:pt idx="222">
                  <c:v>117.699997</c:v>
                </c:pt>
                <c:pt idx="223">
                  <c:v>120.75</c:v>
                </c:pt>
                <c:pt idx="224">
                  <c:v>124.199997</c:v>
                </c:pt>
                <c:pt idx="225">
                  <c:v>126.010002</c:v>
                </c:pt>
                <c:pt idx="226">
                  <c:v>128.16000399999999</c:v>
                </c:pt>
                <c:pt idx="227">
                  <c:v>131.820007</c:v>
                </c:pt>
                <c:pt idx="228">
                  <c:v>129.929993</c:v>
                </c:pt>
                <c:pt idx="229">
                  <c:v>131.279999</c:v>
                </c:pt>
                <c:pt idx="230">
                  <c:v>130.85000600000001</c:v>
                </c:pt>
                <c:pt idx="231">
                  <c:v>134.740005</c:v>
                </c:pt>
                <c:pt idx="232">
                  <c:v>135.10000600000001</c:v>
                </c:pt>
                <c:pt idx="233">
                  <c:v>135.33000200000001</c:v>
                </c:pt>
                <c:pt idx="234">
                  <c:v>132.449997</c:v>
                </c:pt>
                <c:pt idx="235">
                  <c:v>134.08999600000001</c:v>
                </c:pt>
                <c:pt idx="236">
                  <c:v>139.41999799999999</c:v>
                </c:pt>
                <c:pt idx="237">
                  <c:v>140.990005</c:v>
                </c:pt>
                <c:pt idx="238">
                  <c:v>140.71000699999999</c:v>
                </c:pt>
                <c:pt idx="239">
                  <c:v>139.820007</c:v>
                </c:pt>
                <c:pt idx="240">
                  <c:v>139.729996</c:v>
                </c:pt>
                <c:pt idx="241">
                  <c:v>141.33000200000001</c:v>
                </c:pt>
                <c:pt idx="242">
                  <c:v>144.199997</c:v>
                </c:pt>
                <c:pt idx="243">
                  <c:v>146.88999899999999</c:v>
                </c:pt>
                <c:pt idx="244">
                  <c:v>143.199997</c:v>
                </c:pt>
                <c:pt idx="245">
                  <c:v>147.83999600000001</c:v>
                </c:pt>
                <c:pt idx="246">
                  <c:v>150.050003</c:v>
                </c:pt>
                <c:pt idx="247">
                  <c:v>150.08999600000001</c:v>
                </c:pt>
                <c:pt idx="248">
                  <c:v>145.36000100000001</c:v>
                </c:pt>
                <c:pt idx="249">
                  <c:v>140.05999800000001</c:v>
                </c:pt>
                <c:pt idx="250">
                  <c:v>140.08000200000001</c:v>
                </c:pt>
                <c:pt idx="251">
                  <c:v>137.740005</c:v>
                </c:pt>
                <c:pt idx="252">
                  <c:v>139.779999</c:v>
                </c:pt>
                <c:pt idx="253">
                  <c:v>143.929993</c:v>
                </c:pt>
                <c:pt idx="254">
                  <c:v>140.179993</c:v>
                </c:pt>
                <c:pt idx="255">
                  <c:v>132.86999499999999</c:v>
                </c:pt>
                <c:pt idx="256">
                  <c:v>141.71000699999999</c:v>
                </c:pt>
                <c:pt idx="257">
                  <c:v>137.11000100000001</c:v>
                </c:pt>
                <c:pt idx="258">
                  <c:v>135.08999600000001</c:v>
                </c:pt>
                <c:pt idx="259">
                  <c:v>124.260002</c:v>
                </c:pt>
                <c:pt idx="260">
                  <c:v>130.94000199999999</c:v>
                </c:pt>
                <c:pt idx="261">
                  <c:v>131.94000199999999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5B-431E-8C15-87A765A54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860912"/>
        <c:axId val="612861240"/>
      </c:lineChart>
      <c:dateAx>
        <c:axId val="61286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61240"/>
        <c:crosses val="autoZero"/>
        <c:auto val="1"/>
        <c:lblOffset val="100"/>
        <c:baseTimeUnit val="days"/>
      </c:dateAx>
      <c:valAx>
        <c:axId val="61286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6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Allocations of</a:t>
            </a:r>
            <a:r>
              <a:rPr lang="en-US" baseline="0"/>
              <a:t> Two Portfolios</a:t>
            </a:r>
            <a:endParaRPr lang="en-US"/>
          </a:p>
        </c:rich>
      </c:tx>
      <c:layout>
        <c:manualLayout>
          <c:xMode val="edge"/>
          <c:yMode val="edge"/>
          <c:x val="0.208460380265723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'Part 2'!$AF$2</c:f>
              <c:strCache>
                <c:ptCount val="1"/>
                <c:pt idx="0">
                  <c:v>LULU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2'!$AG$2,'Part 2'!$AH$2)</c:f>
              <c:numCache>
                <c:formatCode>General</c:formatCode>
                <c:ptCount val="2"/>
                <c:pt idx="0">
                  <c:v>2.9036481063974991E-2</c:v>
                </c:pt>
                <c:pt idx="1">
                  <c:v>0.22148756866137659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7-49FD-A8EF-AFCAC0973C22}"/>
            </c:ext>
          </c:extLst>
        </c:ser>
        <c:ser>
          <c:idx val="1"/>
          <c:order val="1"/>
          <c:tx>
            <c:strRef>
              <c:f>'Part 2'!$AF$3</c:f>
              <c:strCache>
                <c:ptCount val="1"/>
                <c:pt idx="0">
                  <c:v>DIS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2'!$AG$3,'Part 2'!$AH$3)</c:f>
              <c:numCache>
                <c:formatCode>General</c:formatCode>
                <c:ptCount val="2"/>
                <c:pt idx="0">
                  <c:v>0.17293656791192813</c:v>
                </c:pt>
                <c:pt idx="1">
                  <c:v>-0.1196292454017811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7-49FD-A8EF-AFCAC0973C22}"/>
            </c:ext>
          </c:extLst>
        </c:ser>
        <c:ser>
          <c:idx val="2"/>
          <c:order val="2"/>
          <c:tx>
            <c:strRef>
              <c:f>'Part 2'!$AF$4</c:f>
              <c:strCache>
                <c:ptCount val="1"/>
                <c:pt idx="0">
                  <c:v>TGT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2'!$AG$4,'Part 2'!$AH$4)</c:f>
              <c:numCache>
                <c:formatCode>General</c:formatCode>
                <c:ptCount val="2"/>
                <c:pt idx="0">
                  <c:v>0.10807025092748271</c:v>
                </c:pt>
                <c:pt idx="1">
                  <c:v>-0.17651297603383745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A7-49FD-A8EF-AFCAC0973C22}"/>
            </c:ext>
          </c:extLst>
        </c:ser>
        <c:ser>
          <c:idx val="3"/>
          <c:order val="3"/>
          <c:tx>
            <c:strRef>
              <c:f>'Part 2'!$AF$5</c:f>
              <c:strCache>
                <c:ptCount val="1"/>
                <c:pt idx="0">
                  <c:v>FIZZ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2'!$AG$5,'Part 2'!$AH$5)</c:f>
              <c:numCache>
                <c:formatCode>General</c:formatCode>
                <c:ptCount val="2"/>
                <c:pt idx="0">
                  <c:v>8.7622727681955032E-2</c:v>
                </c:pt>
                <c:pt idx="1">
                  <c:v>0.38227075595321297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A7-49FD-A8EF-AFCAC0973C22}"/>
            </c:ext>
          </c:extLst>
        </c:ser>
        <c:ser>
          <c:idx val="4"/>
          <c:order val="4"/>
          <c:tx>
            <c:strRef>
              <c:f>'Part 2'!$AF$6</c:f>
              <c:strCache>
                <c:ptCount val="1"/>
                <c:pt idx="0">
                  <c:v>MSFT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2'!$AG$6,'Part 2'!$AH$6)</c:f>
              <c:numCache>
                <c:formatCode>General</c:formatCode>
                <c:ptCount val="2"/>
                <c:pt idx="0">
                  <c:v>4.7908328059027096E-2</c:v>
                </c:pt>
                <c:pt idx="1">
                  <c:v>0.81655616809766929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A7-49FD-A8EF-AFCAC0973C22}"/>
            </c:ext>
          </c:extLst>
        </c:ser>
        <c:ser>
          <c:idx val="5"/>
          <c:order val="5"/>
          <c:tx>
            <c:strRef>
              <c:f>'Part 2'!$AF$7</c:f>
              <c:strCache>
                <c:ptCount val="1"/>
                <c:pt idx="0">
                  <c:v>XOM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2'!$AG$7,'Part 2'!$AH$7)</c:f>
              <c:numCache>
                <c:formatCode>General</c:formatCode>
                <c:ptCount val="2"/>
                <c:pt idx="0">
                  <c:v>0.32067592411764573</c:v>
                </c:pt>
                <c:pt idx="1">
                  <c:v>-1.1765468971221951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A7-49FD-A8EF-AFCAC0973C22}"/>
            </c:ext>
          </c:extLst>
        </c:ser>
        <c:ser>
          <c:idx val="6"/>
          <c:order val="6"/>
          <c:tx>
            <c:strRef>
              <c:f>'Part 2'!$AF$8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('Part 2'!$AG$1,'Part 2'!$AH$1)</c:f>
              <c:strCache>
                <c:ptCount val="2"/>
                <c:pt idx="0">
                  <c:v>Minimum Variance</c:v>
                </c:pt>
                <c:pt idx="1">
                  <c:v>Efficient</c:v>
                </c:pt>
              </c:strCache>
            </c:strRef>
          </c:cat>
          <c:val>
            <c:numRef>
              <c:f>('Part 2'!$AG$8,'Part 2'!$AH$8)</c:f>
              <c:numCache>
                <c:formatCode>General</c:formatCode>
                <c:ptCount val="2"/>
                <c:pt idx="0">
                  <c:v>0.23374972023798632</c:v>
                </c:pt>
                <c:pt idx="1">
                  <c:v>1.0523746258455549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A7-49FD-A8EF-AFCAC097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1609296"/>
        <c:axId val="501607000"/>
      </c:barChart>
      <c:catAx>
        <c:axId val="50160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(Negative values</a:t>
                </a:r>
                <a:r>
                  <a:rPr lang="en-US" baseline="0"/>
                  <a:t> are shorts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33280631532560245"/>
              <c:y val="0.81589219859133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07000"/>
        <c:crosses val="autoZero"/>
        <c:auto val="1"/>
        <c:lblAlgn val="ctr"/>
        <c:lblOffset val="100"/>
        <c:noMultiLvlLbl val="0"/>
      </c:catAx>
      <c:valAx>
        <c:axId val="50160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Portfolio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0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42</xdr:row>
      <xdr:rowOff>7143</xdr:rowOff>
    </xdr:from>
    <xdr:to>
      <xdr:col>16</xdr:col>
      <xdr:colOff>552449</xdr:colOff>
      <xdr:row>64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B79E0F-F750-4E21-BB74-9B3E9413E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269087</xdr:colOff>
      <xdr:row>42</xdr:row>
      <xdr:rowOff>16666</xdr:rowOff>
    </xdr:from>
    <xdr:to>
      <xdr:col>5</xdr:col>
      <xdr:colOff>280995</xdr:colOff>
      <xdr:row>64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AB6869-6712-4708-AE8E-00E768B03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635793</xdr:colOff>
      <xdr:row>10</xdr:row>
      <xdr:rowOff>16668</xdr:rowOff>
    </xdr:from>
    <xdr:to>
      <xdr:col>27</xdr:col>
      <xdr:colOff>0</xdr:colOff>
      <xdr:row>31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E5683D-A455-434E-B1F0-853DB8C99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626267</xdr:colOff>
      <xdr:row>10</xdr:row>
      <xdr:rowOff>11904</xdr:rowOff>
    </xdr:from>
    <xdr:to>
      <xdr:col>26</xdr:col>
      <xdr:colOff>642937</xdr:colOff>
      <xdr:row>31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8B20A1-D065-4F3F-8D1F-44EEC45C7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59531</xdr:colOff>
      <xdr:row>13</xdr:row>
      <xdr:rowOff>73816</xdr:rowOff>
    </xdr:from>
    <xdr:to>
      <xdr:col>43</xdr:col>
      <xdr:colOff>38100</xdr:colOff>
      <xdr:row>32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831B33-D813-4978-A229-CEA344244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359568</xdr:colOff>
      <xdr:row>9</xdr:row>
      <xdr:rowOff>21429</xdr:rowOff>
    </xdr:from>
    <xdr:to>
      <xdr:col>25</xdr:col>
      <xdr:colOff>833438</xdr:colOff>
      <xdr:row>32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1FB04-1135-4377-9A64-7747D7C5F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16667</xdr:colOff>
      <xdr:row>9</xdr:row>
      <xdr:rowOff>183354</xdr:rowOff>
    </xdr:from>
    <xdr:to>
      <xdr:col>35</xdr:col>
      <xdr:colOff>4761</xdr:colOff>
      <xdr:row>26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59D3F0-D9D1-4856-B431-BA0F92BE6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AC43"/>
  <sheetViews>
    <sheetView tabSelected="1" workbookViewId="0">
      <selection activeCell="AC20" sqref="AC20"/>
    </sheetView>
  </sheetViews>
  <sheetFormatPr defaultRowHeight="14.25" x14ac:dyDescent="0.45"/>
  <cols>
    <col min="1" max="1" width="16.73046875" bestFit="1" customWidth="1"/>
    <col min="2" max="2" width="14.9296875" bestFit="1" customWidth="1"/>
    <col min="3" max="3" width="11.265625" bestFit="1" customWidth="1"/>
    <col min="4" max="4" width="15.73046875" bestFit="1" customWidth="1"/>
    <col min="5" max="5" width="12.796875" bestFit="1" customWidth="1"/>
    <col min="6" max="6" width="9.19921875" bestFit="1" customWidth="1"/>
    <col min="7" max="7" width="13.796875" bestFit="1" customWidth="1"/>
    <col min="8" max="8" width="9.19921875" bestFit="1" customWidth="1"/>
    <col min="9" max="9" width="7.796875" bestFit="1" customWidth="1"/>
    <col min="10" max="10" width="8.73046875" bestFit="1" customWidth="1"/>
    <col min="11" max="11" width="7.796875" bestFit="1" customWidth="1"/>
    <col min="12" max="12" width="8.9296875" bestFit="1" customWidth="1"/>
    <col min="13" max="13" width="7.796875" bestFit="1" customWidth="1"/>
    <col min="14" max="14" width="8.9296875" bestFit="1" customWidth="1"/>
    <col min="15" max="15" width="7.796875" bestFit="1" customWidth="1"/>
    <col min="16" max="16" width="9.19921875" bestFit="1" customWidth="1"/>
    <col min="17" max="17" width="7.796875" bestFit="1" customWidth="1"/>
    <col min="19" max="19" width="10.73046875" bestFit="1" customWidth="1"/>
    <col min="20" max="20" width="1.796875" bestFit="1" customWidth="1"/>
    <col min="21" max="21" width="9.19921875" bestFit="1" customWidth="1"/>
    <col min="22" max="22" width="8.73046875" bestFit="1" customWidth="1"/>
    <col min="23" max="24" width="8.9296875" bestFit="1" customWidth="1"/>
    <col min="25" max="25" width="9.19921875" bestFit="1" customWidth="1"/>
  </cols>
  <sheetData>
    <row r="1" spans="1:29" s="3" customFormat="1" ht="14.65" thickBot="1" x14ac:dyDescent="0.5">
      <c r="A1" s="3" t="s">
        <v>58</v>
      </c>
      <c r="B1" s="25" t="s">
        <v>41</v>
      </c>
      <c r="C1" s="26" t="s">
        <v>57</v>
      </c>
      <c r="D1" s="27" t="s">
        <v>42</v>
      </c>
      <c r="E1" s="28" t="s">
        <v>52</v>
      </c>
      <c r="G1" s="3" t="s">
        <v>60</v>
      </c>
      <c r="H1" s="29">
        <v>43542</v>
      </c>
      <c r="I1" s="28" t="s">
        <v>53</v>
      </c>
      <c r="J1" s="29">
        <v>43633</v>
      </c>
      <c r="K1" s="28" t="s">
        <v>53</v>
      </c>
      <c r="L1" s="29">
        <v>43724</v>
      </c>
      <c r="M1" s="28" t="s">
        <v>53</v>
      </c>
      <c r="N1" s="29">
        <v>43815</v>
      </c>
      <c r="O1" s="28" t="s">
        <v>53</v>
      </c>
      <c r="P1" s="29">
        <v>43906</v>
      </c>
      <c r="Q1" s="28" t="s">
        <v>53</v>
      </c>
      <c r="S1" s="3" t="s">
        <v>61</v>
      </c>
      <c r="T1" s="33" t="s">
        <v>63</v>
      </c>
      <c r="U1" s="34">
        <v>43542</v>
      </c>
      <c r="V1" s="34">
        <v>43633</v>
      </c>
      <c r="W1" s="34">
        <v>43724</v>
      </c>
      <c r="X1" s="34">
        <v>43815</v>
      </c>
      <c r="Y1" s="35">
        <v>43906</v>
      </c>
    </row>
    <row r="2" spans="1:29" x14ac:dyDescent="0.45">
      <c r="A2" t="s">
        <v>59</v>
      </c>
      <c r="B2" s="14" t="s">
        <v>0</v>
      </c>
      <c r="C2">
        <f t="shared" ref="C2:C41" si="0">$B3-B2</f>
        <v>91</v>
      </c>
      <c r="D2" s="1">
        <v>97.377499999999998</v>
      </c>
      <c r="E2" s="15">
        <f t="shared" ref="E2:E42" si="1">(100 -$D2)/100</f>
        <v>2.6225000000000023E-2</v>
      </c>
      <c r="G2" t="s">
        <v>62</v>
      </c>
      <c r="H2" s="20">
        <f t="array" ref="H2:H41">GetTermStructure(E2:E41,C2:C41)</f>
        <v>2.6225000000000186E-2</v>
      </c>
      <c r="I2" s="21">
        <f>SUM($C$2:$C2)</f>
        <v>91</v>
      </c>
      <c r="J2" s="24"/>
      <c r="K2" s="21"/>
      <c r="L2" s="24"/>
      <c r="M2" s="21"/>
      <c r="N2" s="24"/>
      <c r="O2" s="21"/>
      <c r="P2" s="24"/>
      <c r="Q2" s="21"/>
      <c r="S2" t="s">
        <v>62</v>
      </c>
      <c r="T2" s="31">
        <v>1</v>
      </c>
      <c r="U2" s="2">
        <f>GetSwapRate($T2,H$2:H$41,I$2:I$41)</f>
        <v>2.6067427359136516E-2</v>
      </c>
      <c r="V2" s="2">
        <f>GetSwapRate($T2,J$3:J$41,K$3:K$41)</f>
        <v>2.5772263988501753E-2</v>
      </c>
      <c r="W2" s="2">
        <f>GetSwapRate($T2,L$4:L$41,M$4:M$41)</f>
        <v>2.5384384794898317E-2</v>
      </c>
      <c r="X2" s="2">
        <f>GetSwapRate($T2,N$5:N$41,O$5:O$41)</f>
        <v>2.4906912987208173E-2</v>
      </c>
      <c r="Y2" s="15">
        <f>GetSwapRate($T2,P$6:P$41,Q$6:Q$41)</f>
        <v>2.4377372463816539E-2</v>
      </c>
      <c r="Z2" s="92">
        <f>$T2+1/4</f>
        <v>1.25</v>
      </c>
      <c r="AA2" s="92">
        <f>$T2+2/4</f>
        <v>1.5</v>
      </c>
      <c r="AB2" s="92">
        <f>$T2+3/4</f>
        <v>1.75</v>
      </c>
      <c r="AC2" s="92">
        <f>$T2+1</f>
        <v>2</v>
      </c>
    </row>
    <row r="3" spans="1:29" x14ac:dyDescent="0.45">
      <c r="A3" t="s">
        <v>64</v>
      </c>
      <c r="B3" s="14" t="s">
        <v>1</v>
      </c>
      <c r="C3">
        <f t="shared" si="0"/>
        <v>91</v>
      </c>
      <c r="D3" s="1">
        <v>97.4</v>
      </c>
      <c r="E3" s="15">
        <f t="shared" si="1"/>
        <v>2.5999999999999943E-2</v>
      </c>
      <c r="G3" t="s">
        <v>65</v>
      </c>
      <c r="H3" s="20">
        <v>2.6198678263889021E-2</v>
      </c>
      <c r="I3" s="21">
        <f>SUM($C$2:$C3)</f>
        <v>182</v>
      </c>
      <c r="J3" s="20">
        <f t="array" ref="J3:J41">GetTermStructure(E3:E41,C3:C41)</f>
        <v>2.5999999999999919E-2</v>
      </c>
      <c r="K3" s="21">
        <f>SUM($C$3:$C3)</f>
        <v>91</v>
      </c>
      <c r="L3" s="24"/>
      <c r="M3" s="21"/>
      <c r="N3" s="24"/>
      <c r="O3" s="21"/>
      <c r="P3" s="24"/>
      <c r="Q3" s="21"/>
      <c r="S3" t="s">
        <v>66</v>
      </c>
      <c r="T3" s="31">
        <v>2</v>
      </c>
      <c r="U3" s="2">
        <f>GetSwapRate($T3,H$2:H$41,I$2:I$41)</f>
        <v>2.5232962357055272E-2</v>
      </c>
      <c r="V3" s="2">
        <f t="shared" ref="V3:V9" si="2">GetSwapRate($T3,J$3:J$41,K$3:K$41)</f>
        <v>2.4877919141024697E-2</v>
      </c>
      <c r="W3" s="2">
        <f>GetSwapRate($T3,L$4:L$41,M$4:M$41)</f>
        <v>2.4544647572406059E-2</v>
      </c>
      <c r="X3" s="2">
        <f t="shared" ref="X3:X9" si="3">GetSwapRate($T3,N$5:N$41,O$5:O$41)</f>
        <v>2.4228099197794912E-2</v>
      </c>
      <c r="Y3" s="15">
        <f t="shared" ref="Y3:Y8" si="4">GetSwapRate($T3,P$6:P$41,Q$6:Q$41)</f>
        <v>2.3916241076908148E-2</v>
      </c>
      <c r="Z3" s="92">
        <f t="shared" ref="Z3:Z9" si="5">$T3+1/4</f>
        <v>2.25</v>
      </c>
      <c r="AA3" s="92">
        <f t="shared" ref="AA3:AA8" si="6">$T3+2/4</f>
        <v>2.5</v>
      </c>
      <c r="AB3" s="92">
        <f t="shared" ref="AB3:AB8" si="7">$T3+3/4</f>
        <v>2.75</v>
      </c>
      <c r="AC3" s="92">
        <f t="shared" ref="AC3:AC8" si="8">$T3+1</f>
        <v>3</v>
      </c>
    </row>
    <row r="4" spans="1:29" x14ac:dyDescent="0.45">
      <c r="B4" s="14" t="s">
        <v>2</v>
      </c>
      <c r="C4">
        <f t="shared" si="0"/>
        <v>91</v>
      </c>
      <c r="D4" s="1">
        <v>97.42</v>
      </c>
      <c r="E4" s="15">
        <f t="shared" si="1"/>
        <v>2.5799999999999983E-2</v>
      </c>
      <c r="H4" s="20">
        <v>2.6179691540422309E-2</v>
      </c>
      <c r="I4" s="21">
        <f>SUM($C$2:$C4)</f>
        <v>273</v>
      </c>
      <c r="J4" s="20">
        <v>2.5984781666666627E-2</v>
      </c>
      <c r="K4" s="21">
        <f>SUM($C$3:$C4)</f>
        <v>182</v>
      </c>
      <c r="L4" s="20">
        <f t="array" ref="L4:L41">GetTermStructure(E4:E41,C4:C41)</f>
        <v>2.5800000000000364E-2</v>
      </c>
      <c r="M4" s="21">
        <f>SUM($C$4:$C4)</f>
        <v>91</v>
      </c>
      <c r="N4" s="24"/>
      <c r="O4" s="21"/>
      <c r="P4" s="24"/>
      <c r="Q4" s="21"/>
      <c r="T4" s="31">
        <v>3</v>
      </c>
      <c r="U4" s="2">
        <f t="shared" ref="U4:U9" si="9">GetSwapRate($T4,H$2:H$41,I$2:I$41)</f>
        <v>2.4650988516653639E-2</v>
      </c>
      <c r="V4" s="2">
        <f t="shared" si="2"/>
        <v>2.4423465242402638E-2</v>
      </c>
      <c r="W4" s="2">
        <f t="shared" ref="W4:W9" si="10">GetSwapRate($T4,L$4:L$41,M$4:M$41)</f>
        <v>2.4224811253351835E-2</v>
      </c>
      <c r="X4" s="2">
        <f t="shared" si="3"/>
        <v>2.4065374739159245E-2</v>
      </c>
      <c r="Y4" s="15">
        <f t="shared" si="4"/>
        <v>2.3918256936262833E-2</v>
      </c>
      <c r="Z4" s="92">
        <f t="shared" si="5"/>
        <v>3.25</v>
      </c>
      <c r="AA4" s="92">
        <f t="shared" si="6"/>
        <v>3.5</v>
      </c>
      <c r="AB4" s="92">
        <f t="shared" si="7"/>
        <v>3.75</v>
      </c>
      <c r="AC4" s="92">
        <f t="shared" si="8"/>
        <v>4</v>
      </c>
    </row>
    <row r="5" spans="1:29" ht="14.65" thickBot="1" x14ac:dyDescent="0.5">
      <c r="B5" s="16" t="s">
        <v>3</v>
      </c>
      <c r="C5" s="17">
        <f t="shared" si="0"/>
        <v>91</v>
      </c>
      <c r="D5" s="18">
        <v>97.41</v>
      </c>
      <c r="E5" s="19">
        <f t="shared" si="1"/>
        <v>2.5900000000000034E-2</v>
      </c>
      <c r="H5" s="22">
        <v>2.6238316394882569E-2</v>
      </c>
      <c r="I5" s="23">
        <f>SUM($C$2:$C5)</f>
        <v>364</v>
      </c>
      <c r="J5" s="22">
        <v>2.6069935059092882E-2</v>
      </c>
      <c r="K5" s="23">
        <f>SUM($C$3:$C5)</f>
        <v>273</v>
      </c>
      <c r="L5" s="22">
        <v>2.5934455583333436E-2</v>
      </c>
      <c r="M5" s="23">
        <f>SUM($C$4:$C5)</f>
        <v>182</v>
      </c>
      <c r="N5" s="22">
        <f t="array" ref="N5:N41">GetTermStructure(E5:E41,C5:C41)</f>
        <v>2.5899999999999701E-2</v>
      </c>
      <c r="O5" s="23">
        <f>SUM($C$5:$C5)</f>
        <v>91</v>
      </c>
      <c r="P5" s="91"/>
      <c r="Q5" s="23"/>
      <c r="T5" s="31">
        <v>4</v>
      </c>
      <c r="U5" s="2">
        <f t="shared" si="9"/>
        <v>2.447535407147975E-2</v>
      </c>
      <c r="V5" s="2">
        <f t="shared" si="2"/>
        <v>2.4361479702244369E-2</v>
      </c>
      <c r="W5" s="2">
        <f t="shared" si="10"/>
        <v>2.4276599604030346E-2</v>
      </c>
      <c r="X5" s="2">
        <f t="shared" si="3"/>
        <v>2.4224680474269882E-2</v>
      </c>
      <c r="Y5" s="15">
        <f t="shared" si="4"/>
        <v>2.4193384597519681E-2</v>
      </c>
      <c r="Z5" s="92">
        <f t="shared" si="5"/>
        <v>4.25</v>
      </c>
      <c r="AA5" s="92">
        <f t="shared" si="6"/>
        <v>4.5</v>
      </c>
      <c r="AB5" s="92">
        <f t="shared" si="7"/>
        <v>4.75</v>
      </c>
      <c r="AC5" s="92">
        <f t="shared" si="8"/>
        <v>5</v>
      </c>
    </row>
    <row r="6" spans="1:29" x14ac:dyDescent="0.45">
      <c r="B6" s="14" t="s">
        <v>4</v>
      </c>
      <c r="C6">
        <f t="shared" si="0"/>
        <v>91</v>
      </c>
      <c r="D6" s="1">
        <v>97.495000000000005</v>
      </c>
      <c r="E6" s="15">
        <f t="shared" si="1"/>
        <v>2.5049999999999954E-2</v>
      </c>
      <c r="H6" s="20">
        <v>2.6133567680657034E-2</v>
      </c>
      <c r="I6" s="21">
        <f>SUM($C$2:$C6)</f>
        <v>455</v>
      </c>
      <c r="J6" s="20">
        <v>2.5938759045286162E-2</v>
      </c>
      <c r="K6" s="21">
        <f>SUM($C$3:$C6)</f>
        <v>364</v>
      </c>
      <c r="L6" s="20">
        <v>2.574911647819465E-2</v>
      </c>
      <c r="M6" s="21">
        <f>SUM($C$4:$C6)</f>
        <v>273</v>
      </c>
      <c r="N6" s="20">
        <v>2.5557000479166727E-2</v>
      </c>
      <c r="O6" s="21">
        <f>SUM($C$5:$C6)</f>
        <v>182</v>
      </c>
      <c r="P6" s="20">
        <f t="array" ref="P6:P41">GetTermStructure(E6:E41,C6:C41)</f>
        <v>2.5050000000000062E-2</v>
      </c>
      <c r="Q6" s="21">
        <f>SUM($C$6:$C6)</f>
        <v>91</v>
      </c>
      <c r="T6" s="31">
        <v>5</v>
      </c>
      <c r="U6" s="2">
        <f t="shared" si="9"/>
        <v>2.4585271146744123E-2</v>
      </c>
      <c r="V6" s="2">
        <f t="shared" si="2"/>
        <v>2.455900238377345E-2</v>
      </c>
      <c r="W6" s="2">
        <f t="shared" si="10"/>
        <v>2.456168373904857E-2</v>
      </c>
      <c r="X6" s="2">
        <f t="shared" si="3"/>
        <v>2.4590993770955652E-2</v>
      </c>
      <c r="Y6" s="15">
        <f t="shared" si="4"/>
        <v>2.4636864573630957E-2</v>
      </c>
      <c r="Z6" s="92">
        <f t="shared" si="5"/>
        <v>5.25</v>
      </c>
      <c r="AA6" s="92">
        <f t="shared" si="6"/>
        <v>5.5</v>
      </c>
      <c r="AB6" s="92">
        <f t="shared" si="7"/>
        <v>5.75</v>
      </c>
      <c r="AC6" s="92">
        <f t="shared" si="8"/>
        <v>6</v>
      </c>
    </row>
    <row r="7" spans="1:29" x14ac:dyDescent="0.45">
      <c r="B7" s="14" t="s">
        <v>5</v>
      </c>
      <c r="C7">
        <f t="shared" si="0"/>
        <v>91</v>
      </c>
      <c r="D7" s="1">
        <v>97.555000000000007</v>
      </c>
      <c r="E7" s="15">
        <f t="shared" si="1"/>
        <v>2.444999999999993E-2</v>
      </c>
      <c r="H7" s="20">
        <v>2.5987570014924993E-2</v>
      </c>
      <c r="I7" s="21">
        <f>SUM($C$2:$C7)</f>
        <v>546</v>
      </c>
      <c r="J7" s="20">
        <v>2.5769257107201682E-2</v>
      </c>
      <c r="K7" s="21">
        <f>SUM($C$3:$C7)</f>
        <v>455</v>
      </c>
      <c r="L7" s="20">
        <v>2.55436925601213E-2</v>
      </c>
      <c r="M7" s="21">
        <f>SUM($C$4:$C7)</f>
        <v>364</v>
      </c>
      <c r="N7" s="20">
        <v>2.5293302260585356E-2</v>
      </c>
      <c r="O7" s="21">
        <f>SUM($C$5:$C7)</f>
        <v>273</v>
      </c>
      <c r="P7" s="20">
        <v>2.4827409718750051E-2</v>
      </c>
      <c r="Q7" s="21">
        <f>SUM($C$6:$C7)</f>
        <v>182</v>
      </c>
      <c r="T7" s="31">
        <v>6</v>
      </c>
      <c r="U7" s="2">
        <f t="shared" si="9"/>
        <v>2.4889375744425693E-2</v>
      </c>
      <c r="V7" s="2">
        <f t="shared" si="2"/>
        <v>2.4923882197341974E-2</v>
      </c>
      <c r="W7" s="2">
        <f t="shared" si="10"/>
        <v>2.4980853306882985E-2</v>
      </c>
      <c r="X7" s="2">
        <f t="shared" si="3"/>
        <v>2.5058243527274388E-2</v>
      </c>
      <c r="Y7" s="15">
        <f t="shared" si="4"/>
        <v>2.5143628382974917E-2</v>
      </c>
      <c r="Z7" s="92">
        <f t="shared" si="5"/>
        <v>6.25</v>
      </c>
      <c r="AA7" s="92">
        <f t="shared" si="6"/>
        <v>6.5</v>
      </c>
      <c r="AB7" s="92">
        <f t="shared" si="7"/>
        <v>6.75</v>
      </c>
      <c r="AC7" s="92">
        <f t="shared" si="8"/>
        <v>7</v>
      </c>
    </row>
    <row r="8" spans="1:29" x14ac:dyDescent="0.45">
      <c r="B8" s="14" t="s">
        <v>6</v>
      </c>
      <c r="C8">
        <f t="shared" si="0"/>
        <v>91</v>
      </c>
      <c r="D8" s="1">
        <v>97.61</v>
      </c>
      <c r="E8" s="15">
        <f t="shared" si="1"/>
        <v>2.3900000000000005E-2</v>
      </c>
      <c r="H8" s="20">
        <v>2.5823918027139129E-2</v>
      </c>
      <c r="I8" s="21">
        <f>SUM($C$2:$C8)</f>
        <v>637</v>
      </c>
      <c r="J8" s="20">
        <v>2.5587449342303371E-2</v>
      </c>
      <c r="K8" s="21">
        <f>SUM($C$3:$C8)</f>
        <v>546</v>
      </c>
      <c r="L8" s="20">
        <v>2.5338409552428103E-2</v>
      </c>
      <c r="M8" s="21">
        <f>SUM($C$4:$C8)</f>
        <v>455</v>
      </c>
      <c r="N8" s="20">
        <v>2.5059581701869359E-2</v>
      </c>
      <c r="O8" s="21">
        <f>SUM($C$5:$C8)</f>
        <v>364</v>
      </c>
      <c r="P8" s="20">
        <v>2.461826783730978E-2</v>
      </c>
      <c r="Q8" s="21">
        <f>SUM($C$6:$C8)</f>
        <v>273</v>
      </c>
      <c r="T8" s="31">
        <v>7</v>
      </c>
      <c r="U8" s="2">
        <f t="shared" si="9"/>
        <v>2.5285218404650787E-2</v>
      </c>
      <c r="V8" s="2">
        <f t="shared" si="2"/>
        <v>2.5348070417123298E-2</v>
      </c>
      <c r="W8" s="2">
        <f t="shared" si="10"/>
        <v>2.5427097995630709E-2</v>
      </c>
      <c r="X8" s="2">
        <f t="shared" si="3"/>
        <v>2.5520437310763464E-2</v>
      </c>
      <c r="Y8" s="15">
        <f t="shared" si="4"/>
        <v>2.5617364465843444E-2</v>
      </c>
      <c r="Z8" s="92">
        <f t="shared" si="5"/>
        <v>7.25</v>
      </c>
      <c r="AA8" s="92">
        <f t="shared" si="6"/>
        <v>7.5</v>
      </c>
      <c r="AB8" s="92">
        <f t="shared" si="7"/>
        <v>7.75</v>
      </c>
      <c r="AC8" s="92">
        <f t="shared" si="8"/>
        <v>8</v>
      </c>
    </row>
    <row r="9" spans="1:29" ht="14.65" thickBot="1" x14ac:dyDescent="0.5">
      <c r="B9" s="16" t="s">
        <v>7</v>
      </c>
      <c r="C9" s="17">
        <f t="shared" si="0"/>
        <v>91</v>
      </c>
      <c r="D9" s="18">
        <v>97.62</v>
      </c>
      <c r="E9" s="19">
        <f t="shared" si="1"/>
        <v>2.3799999999999953E-2</v>
      </c>
      <c r="H9" s="22">
        <v>2.5706867888900264E-2</v>
      </c>
      <c r="I9" s="23">
        <f>SUM($C$2:$C9)</f>
        <v>728</v>
      </c>
      <c r="J9" s="22">
        <v>2.5464045383368428E-2</v>
      </c>
      <c r="K9" s="23">
        <f>SUM($C$3:$C9)</f>
        <v>637</v>
      </c>
      <c r="L9" s="22">
        <v>2.5209040199728534E-2</v>
      </c>
      <c r="M9" s="23">
        <f>SUM($C$4:$C9)</f>
        <v>546</v>
      </c>
      <c r="N9" s="22">
        <v>2.4928274343828525E-2</v>
      </c>
      <c r="O9" s="23">
        <f>SUM($C$5:$C9)</f>
        <v>455</v>
      </c>
      <c r="P9" s="22">
        <v>2.4524780553986578E-2</v>
      </c>
      <c r="Q9" s="23">
        <f>SUM($C$6:$C9)</f>
        <v>364</v>
      </c>
      <c r="T9" s="32">
        <v>8</v>
      </c>
      <c r="U9" s="30">
        <f t="shared" si="9"/>
        <v>2.5678520146274877E-2</v>
      </c>
      <c r="V9" s="30">
        <f t="shared" si="2"/>
        <v>2.5753929865511307E-2</v>
      </c>
      <c r="W9" s="30">
        <f t="shared" si="10"/>
        <v>2.5840833561998507E-2</v>
      </c>
      <c r="X9" s="30">
        <f t="shared" si="3"/>
        <v>2.5937539554215128E-2</v>
      </c>
      <c r="Y9" s="19">
        <f>GetSwapRate($T9,P$6:P$41,Q$6:Q$41)</f>
        <v>2.6043025427086398E-2</v>
      </c>
      <c r="Z9" s="92">
        <f t="shared" si="5"/>
        <v>8.25</v>
      </c>
      <c r="AA9" s="92">
        <f>$T9+2/4</f>
        <v>8.5</v>
      </c>
      <c r="AB9" s="92">
        <f>$T9+3/4</f>
        <v>8.75</v>
      </c>
      <c r="AC9" s="92">
        <f>$T9+1</f>
        <v>9</v>
      </c>
    </row>
    <row r="10" spans="1:29" x14ac:dyDescent="0.45">
      <c r="B10" s="14" t="s">
        <v>8</v>
      </c>
      <c r="C10">
        <f t="shared" si="0"/>
        <v>91</v>
      </c>
      <c r="D10" s="1">
        <v>97.66</v>
      </c>
      <c r="E10" s="15">
        <f t="shared" si="1"/>
        <v>2.3400000000000035E-2</v>
      </c>
      <c r="H10" s="20">
        <v>2.5585710233300581E-2</v>
      </c>
      <c r="I10" s="21">
        <f>SUM($C$2:$C10)</f>
        <v>819</v>
      </c>
      <c r="J10" s="20">
        <v>2.5337832060334749E-2</v>
      </c>
      <c r="K10" s="21">
        <f>SUM($C$3:$C10)</f>
        <v>728</v>
      </c>
      <c r="L10" s="20">
        <v>2.5078415719294245E-2</v>
      </c>
      <c r="M10" s="21">
        <f>SUM($C$4:$C10)</f>
        <v>637</v>
      </c>
      <c r="N10" s="20">
        <v>2.4796437572143667E-2</v>
      </c>
      <c r="O10" s="21">
        <f>SUM($C$5:$C10)</f>
        <v>546</v>
      </c>
      <c r="P10" s="20">
        <v>2.4415875704770818E-2</v>
      </c>
      <c r="Q10" s="21">
        <f>SUM($C$6:$C10)</f>
        <v>455</v>
      </c>
    </row>
    <row r="11" spans="1:29" x14ac:dyDescent="0.45">
      <c r="B11" s="14" t="s">
        <v>9</v>
      </c>
      <c r="C11">
        <f t="shared" si="0"/>
        <v>91</v>
      </c>
      <c r="D11" s="1">
        <v>97.665000000000006</v>
      </c>
      <c r="E11" s="15">
        <f t="shared" si="1"/>
        <v>2.3349999999999937E-2</v>
      </c>
      <c r="H11" s="20">
        <v>2.5498053700943553E-2</v>
      </c>
      <c r="I11" s="21">
        <f>SUM($C$2:$C11)</f>
        <v>910</v>
      </c>
      <c r="J11" s="20">
        <v>2.5249897862157793E-2</v>
      </c>
      <c r="K11" s="21">
        <f>SUM($C$3:$C11)</f>
        <v>819</v>
      </c>
      <c r="L11" s="20">
        <v>2.4991882886843605E-2</v>
      </c>
      <c r="M11" s="21">
        <f>SUM($C$4:$C11)</f>
        <v>728</v>
      </c>
      <c r="N11" s="20">
        <v>2.4715252943683104E-2</v>
      </c>
      <c r="O11" s="21">
        <f>SUM($C$5:$C11)</f>
        <v>637</v>
      </c>
      <c r="P11" s="20">
        <v>2.4358322516686962E-2</v>
      </c>
      <c r="Q11" s="21">
        <f>SUM($C$6:$C11)</f>
        <v>546</v>
      </c>
    </row>
    <row r="12" spans="1:29" x14ac:dyDescent="0.45">
      <c r="B12" s="14" t="s">
        <v>10</v>
      </c>
      <c r="C12">
        <f t="shared" si="0"/>
        <v>91</v>
      </c>
      <c r="D12" s="1">
        <v>97.67</v>
      </c>
      <c r="E12" s="15">
        <f t="shared" si="1"/>
        <v>2.3299999999999984E-2</v>
      </c>
      <c r="H12" s="20">
        <v>2.5434754685863113E-2</v>
      </c>
      <c r="I12" s="21">
        <f>SUM($C$2:$C12)</f>
        <v>1001</v>
      </c>
      <c r="J12" s="20">
        <v>2.5188751472034868E-2</v>
      </c>
      <c r="K12" s="21">
        <f>SUM($C$3:$C12)</f>
        <v>910</v>
      </c>
      <c r="L12" s="20">
        <v>2.4934736119873308E-2</v>
      </c>
      <c r="M12" s="21">
        <f>SUM($C$4:$C12)</f>
        <v>819</v>
      </c>
      <c r="N12" s="20">
        <v>2.4665716553401756E-2</v>
      </c>
      <c r="O12" s="21">
        <f>SUM($C$5:$C12)</f>
        <v>728</v>
      </c>
      <c r="P12" s="20">
        <v>2.4330102517236836E-2</v>
      </c>
      <c r="Q12" s="21">
        <f>SUM($C$6:$C12)</f>
        <v>637</v>
      </c>
    </row>
    <row r="13" spans="1:29" ht="14.65" thickBot="1" x14ac:dyDescent="0.5">
      <c r="B13" s="16" t="s">
        <v>11</v>
      </c>
      <c r="C13" s="17">
        <f t="shared" si="0"/>
        <v>91</v>
      </c>
      <c r="D13" s="18">
        <v>97.655000000000001</v>
      </c>
      <c r="E13" s="19">
        <f t="shared" si="1"/>
        <v>2.3449999999999988E-2</v>
      </c>
      <c r="H13" s="22">
        <v>2.5407562499629392E-2</v>
      </c>
      <c r="I13" s="23">
        <f>SUM($C$2:$C13)</f>
        <v>1092</v>
      </c>
      <c r="J13" s="22">
        <v>2.5166419358930027E-2</v>
      </c>
      <c r="K13" s="23">
        <f>SUM($C$3:$C13)</f>
        <v>1001</v>
      </c>
      <c r="L13" s="22">
        <v>2.4919286208243532E-2</v>
      </c>
      <c r="M13" s="23">
        <f>SUM($C$4:$C13)</f>
        <v>910</v>
      </c>
      <c r="N13" s="22">
        <v>2.4660600901392053E-2</v>
      </c>
      <c r="O13" s="23">
        <f>SUM($C$5:$C13)</f>
        <v>819</v>
      </c>
      <c r="P13" s="22">
        <v>2.4346282256702587E-2</v>
      </c>
      <c r="Q13" s="23">
        <f>SUM($C$6:$C13)</f>
        <v>728</v>
      </c>
    </row>
    <row r="14" spans="1:29" x14ac:dyDescent="0.45">
      <c r="B14" s="14" t="s">
        <v>12</v>
      </c>
      <c r="C14">
        <f t="shared" si="0"/>
        <v>91</v>
      </c>
      <c r="D14" s="1">
        <v>97.644999999999996</v>
      </c>
      <c r="E14" s="15">
        <f t="shared" si="1"/>
        <v>2.355000000000004E-2</v>
      </c>
      <c r="H14" s="20">
        <v>2.540428763251646E-2</v>
      </c>
      <c r="I14" s="21">
        <f>SUM($C$2:$C14)</f>
        <v>1183</v>
      </c>
      <c r="J14" s="20">
        <v>2.5169046876491165E-2</v>
      </c>
      <c r="K14" s="21">
        <f>SUM($C$3:$C14)</f>
        <v>1092</v>
      </c>
      <c r="L14" s="20">
        <v>2.492966240221281E-2</v>
      </c>
      <c r="M14" s="21">
        <f>SUM($C$4:$C14)</f>
        <v>1001</v>
      </c>
      <c r="N14" s="20">
        <v>2.4681663063157219E-2</v>
      </c>
      <c r="O14" s="21">
        <f>SUM($C$5:$C14)</f>
        <v>910</v>
      </c>
      <c r="P14" s="20">
        <v>2.4386634352106619E-2</v>
      </c>
      <c r="Q14" s="21">
        <f>SUM($C$6:$C14)</f>
        <v>819</v>
      </c>
    </row>
    <row r="15" spans="1:29" x14ac:dyDescent="0.45">
      <c r="B15" s="14" t="s">
        <v>13</v>
      </c>
      <c r="C15">
        <f t="shared" si="0"/>
        <v>98</v>
      </c>
      <c r="D15" s="1">
        <v>97.63</v>
      </c>
      <c r="E15" s="15">
        <f t="shared" si="1"/>
        <v>2.3700000000000044E-2</v>
      </c>
      <c r="H15" s="20">
        <v>2.5425266170328566E-2</v>
      </c>
      <c r="I15" s="21">
        <f>SUM($C$2:$C15)</f>
        <v>1281</v>
      </c>
      <c r="J15" s="20">
        <v>2.5197076186187876E-2</v>
      </c>
      <c r="K15" s="21">
        <f>SUM($C$3:$C15)</f>
        <v>1190</v>
      </c>
      <c r="L15" s="20">
        <v>2.4966506619125167E-2</v>
      </c>
      <c r="M15" s="21">
        <f>SUM($C$4:$C15)</f>
        <v>1099</v>
      </c>
      <c r="N15" s="20">
        <v>2.4729980002656724E-2</v>
      </c>
      <c r="O15" s="21">
        <f>SUM($C$5:$C15)</f>
        <v>1008</v>
      </c>
      <c r="P15" s="20">
        <v>2.4453773650412198E-2</v>
      </c>
      <c r="Q15" s="21">
        <f>SUM($C$6:$C15)</f>
        <v>917</v>
      </c>
    </row>
    <row r="16" spans="1:29" x14ac:dyDescent="0.45">
      <c r="B16" s="14" t="s">
        <v>14</v>
      </c>
      <c r="C16">
        <f t="shared" si="0"/>
        <v>91</v>
      </c>
      <c r="D16" s="1">
        <v>97.605000000000004</v>
      </c>
      <c r="E16" s="15">
        <f t="shared" si="1"/>
        <v>2.3949999999999961E-2</v>
      </c>
      <c r="H16" s="20">
        <v>2.5471132822196707E-2</v>
      </c>
      <c r="I16" s="21">
        <f>SUM($C$2:$C16)</f>
        <v>1372</v>
      </c>
      <c r="J16" s="20">
        <v>2.5250193429002379E-2</v>
      </c>
      <c r="K16" s="21">
        <f>SUM($C$3:$C16)</f>
        <v>1281</v>
      </c>
      <c r="L16" s="20">
        <v>2.5028363313898235E-2</v>
      </c>
      <c r="M16" s="21">
        <f>SUM($C$4:$C16)</f>
        <v>1190</v>
      </c>
      <c r="N16" s="20">
        <v>2.4802714792033668E-2</v>
      </c>
      <c r="O16" s="21">
        <f>SUM($C$5:$C16)</f>
        <v>1099</v>
      </c>
      <c r="P16" s="20">
        <v>2.4542972842170805E-2</v>
      </c>
      <c r="Q16" s="21">
        <f>SUM($C$6:$C16)</f>
        <v>1008</v>
      </c>
    </row>
    <row r="17" spans="2:17" ht="14.65" thickBot="1" x14ac:dyDescent="0.5">
      <c r="B17" s="16" t="s">
        <v>15</v>
      </c>
      <c r="C17" s="17">
        <f t="shared" si="0"/>
        <v>84</v>
      </c>
      <c r="D17" s="18">
        <v>97.575000000000003</v>
      </c>
      <c r="E17" s="19">
        <f t="shared" si="1"/>
        <v>2.4249999999999973E-2</v>
      </c>
      <c r="H17" s="22">
        <v>2.5536492156192928E-2</v>
      </c>
      <c r="I17" s="23">
        <f>SUM($C$2:$C17)</f>
        <v>1456</v>
      </c>
      <c r="J17" s="22">
        <v>2.5322724828452985E-2</v>
      </c>
      <c r="K17" s="23">
        <f>SUM($C$3:$C17)</f>
        <v>1365</v>
      </c>
      <c r="L17" s="22">
        <v>2.5109323973482013E-2</v>
      </c>
      <c r="M17" s="23">
        <f>SUM($C$4:$C17)</f>
        <v>1274</v>
      </c>
      <c r="N17" s="22">
        <v>2.489384568475787E-2</v>
      </c>
      <c r="O17" s="23">
        <f>SUM($C$5:$C17)</f>
        <v>1183</v>
      </c>
      <c r="P17" s="22">
        <v>2.4648626304771739E-2</v>
      </c>
      <c r="Q17" s="23">
        <f>SUM($C$6:$C17)</f>
        <v>1092</v>
      </c>
    </row>
    <row r="18" spans="2:17" x14ac:dyDescent="0.45">
      <c r="B18" s="14" t="s">
        <v>16</v>
      </c>
      <c r="C18">
        <f t="shared" si="0"/>
        <v>98</v>
      </c>
      <c r="D18" s="1">
        <v>97.55</v>
      </c>
      <c r="E18" s="15">
        <f t="shared" si="1"/>
        <v>2.4500000000000029E-2</v>
      </c>
      <c r="H18" s="20">
        <v>2.563070146559639E-2</v>
      </c>
      <c r="I18" s="21">
        <f>SUM($C$2:$C18)</f>
        <v>1554</v>
      </c>
      <c r="J18" s="20">
        <v>2.5425189475125655E-2</v>
      </c>
      <c r="K18" s="21">
        <f>SUM($C$3:$C18)</f>
        <v>1463</v>
      </c>
      <c r="L18" s="20">
        <v>2.5221304270849235E-2</v>
      </c>
      <c r="M18" s="21">
        <f>SUM($C$4:$C18)</f>
        <v>1372</v>
      </c>
      <c r="N18" s="20">
        <v>2.5017041929725679E-2</v>
      </c>
      <c r="O18" s="21">
        <f>SUM($C$5:$C18)</f>
        <v>1281</v>
      </c>
      <c r="P18" s="20">
        <v>2.4787240917486762E-2</v>
      </c>
      <c r="Q18" s="21">
        <f>SUM($C$6:$C18)</f>
        <v>1190</v>
      </c>
    </row>
    <row r="19" spans="2:17" x14ac:dyDescent="0.45">
      <c r="B19" s="14" t="s">
        <v>17</v>
      </c>
      <c r="C19">
        <f t="shared" si="0"/>
        <v>91</v>
      </c>
      <c r="D19" s="1">
        <v>97.525000000000006</v>
      </c>
      <c r="E19" s="15">
        <f t="shared" si="1"/>
        <v>2.4749999999999942E-2</v>
      </c>
      <c r="H19" s="20">
        <v>2.5733463345720003E-2</v>
      </c>
      <c r="I19" s="21">
        <f>SUM($C$2:$C19)</f>
        <v>1645</v>
      </c>
      <c r="J19" s="20">
        <v>2.5535402998679717E-2</v>
      </c>
      <c r="K19" s="21">
        <f>SUM($C$3:$C19)</f>
        <v>1554</v>
      </c>
      <c r="L19" s="20">
        <v>2.5339964741224741E-2</v>
      </c>
      <c r="M19" s="21">
        <f>SUM($C$4:$C19)</f>
        <v>1463</v>
      </c>
      <c r="N19" s="20">
        <v>2.5145461878003206E-2</v>
      </c>
      <c r="O19" s="21">
        <f>SUM($C$5:$C19)</f>
        <v>1372</v>
      </c>
      <c r="P19" s="20">
        <v>2.4928654294486628E-2</v>
      </c>
      <c r="Q19" s="21">
        <f>SUM($C$6:$C19)</f>
        <v>1281</v>
      </c>
    </row>
    <row r="20" spans="2:17" x14ac:dyDescent="0.45">
      <c r="B20" s="14" t="s">
        <v>18</v>
      </c>
      <c r="C20">
        <f t="shared" si="0"/>
        <v>91</v>
      </c>
      <c r="D20" s="1">
        <v>97.49</v>
      </c>
      <c r="E20" s="15">
        <f t="shared" si="1"/>
        <v>2.5100000000000053E-2</v>
      </c>
      <c r="H20" s="20">
        <v>2.5854970686609312E-2</v>
      </c>
      <c r="I20" s="21">
        <f>SUM($C$2:$C20)</f>
        <v>1736</v>
      </c>
      <c r="J20" s="20">
        <v>2.5664369380143045E-2</v>
      </c>
      <c r="K20" s="21">
        <f>SUM($C$3:$C20)</f>
        <v>1645</v>
      </c>
      <c r="L20" s="20">
        <v>2.547727303483514E-2</v>
      </c>
      <c r="M20" s="21">
        <f>SUM($C$4:$C20)</f>
        <v>1554</v>
      </c>
      <c r="N20" s="20">
        <v>2.5292251475400197E-2</v>
      </c>
      <c r="O20" s="21">
        <f>SUM($C$5:$C20)</f>
        <v>1463</v>
      </c>
      <c r="P20" s="20">
        <v>2.5087693886166752E-2</v>
      </c>
      <c r="Q20" s="21">
        <f>SUM($C$6:$C20)</f>
        <v>1372</v>
      </c>
    </row>
    <row r="21" spans="2:17" ht="14.65" thickBot="1" x14ac:dyDescent="0.5">
      <c r="B21" s="16" t="s">
        <v>19</v>
      </c>
      <c r="C21" s="17">
        <f t="shared" si="0"/>
        <v>91</v>
      </c>
      <c r="D21" s="18">
        <v>97.444999999999993</v>
      </c>
      <c r="E21" s="19">
        <f t="shared" si="1"/>
        <v>2.5550000000000069E-2</v>
      </c>
      <c r="H21" s="22">
        <v>2.5998446994465914E-2</v>
      </c>
      <c r="I21" s="23">
        <f>SUM($C$2:$C21)</f>
        <v>1827</v>
      </c>
      <c r="J21" s="22">
        <v>2.5815438182532711E-2</v>
      </c>
      <c r="K21" s="23">
        <f>SUM($C$3:$C21)</f>
        <v>1736</v>
      </c>
      <c r="L21" s="22">
        <v>2.5636738040410008E-2</v>
      </c>
      <c r="M21" s="23">
        <f>SUM($C$4:$C21)</f>
        <v>1645</v>
      </c>
      <c r="N21" s="22">
        <v>2.5461128661302845E-2</v>
      </c>
      <c r="O21" s="23">
        <f>SUM($C$5:$C21)</f>
        <v>1554</v>
      </c>
      <c r="P21" s="22">
        <v>2.526839963544996E-2</v>
      </c>
      <c r="Q21" s="23">
        <f>SUM($C$6:$C21)</f>
        <v>1463</v>
      </c>
    </row>
    <row r="22" spans="2:17" x14ac:dyDescent="0.45">
      <c r="B22" s="14" t="s">
        <v>20</v>
      </c>
      <c r="C22">
        <f t="shared" si="0"/>
        <v>91</v>
      </c>
      <c r="D22" s="1">
        <v>97.41</v>
      </c>
      <c r="E22" s="15">
        <f t="shared" si="1"/>
        <v>2.5900000000000034E-2</v>
      </c>
      <c r="H22" s="20">
        <v>2.6155910864428866E-2</v>
      </c>
      <c r="I22" s="21">
        <f>SUM($C$2:$C22)</f>
        <v>1918</v>
      </c>
      <c r="J22" s="20">
        <v>2.5980244079258356E-2</v>
      </c>
      <c r="K22" s="21">
        <f>SUM($C$3:$C22)</f>
        <v>1827</v>
      </c>
      <c r="L22" s="20">
        <v>2.5809582177108357E-2</v>
      </c>
      <c r="M22" s="21">
        <f>SUM($C$4:$C22)</f>
        <v>1736</v>
      </c>
      <c r="N22" s="20">
        <v>2.5642877952610024E-2</v>
      </c>
      <c r="O22" s="21">
        <f>SUM($C$5:$C22)</f>
        <v>1645</v>
      </c>
      <c r="P22" s="20">
        <v>2.5461128661302793E-2</v>
      </c>
      <c r="Q22" s="21">
        <f>SUM($C$6:$C22)</f>
        <v>1554</v>
      </c>
    </row>
    <row r="23" spans="2:17" x14ac:dyDescent="0.45">
      <c r="B23" s="14" t="s">
        <v>21</v>
      </c>
      <c r="C23">
        <f t="shared" si="0"/>
        <v>91</v>
      </c>
      <c r="D23" s="1">
        <v>97.375</v>
      </c>
      <c r="E23" s="15">
        <f t="shared" si="1"/>
        <v>2.6249999999999999E-2</v>
      </c>
      <c r="H23" s="20">
        <v>2.6325866715606591E-2</v>
      </c>
      <c r="I23" s="21">
        <f>SUM($C$2:$C23)</f>
        <v>2009</v>
      </c>
      <c r="J23" s="20">
        <v>2.6157253386929084E-2</v>
      </c>
      <c r="K23" s="21">
        <f>SUM($C$3:$C23)</f>
        <v>1918</v>
      </c>
      <c r="L23" s="20">
        <v>2.5994245970091256E-2</v>
      </c>
      <c r="M23" s="21">
        <f>SUM($C$4:$C23)</f>
        <v>1827</v>
      </c>
      <c r="N23" s="20">
        <v>2.5835934863323171E-2</v>
      </c>
      <c r="O23" s="21">
        <f>SUM($C$5:$C23)</f>
        <v>1736</v>
      </c>
      <c r="P23" s="20">
        <v>2.5664367645310025E-2</v>
      </c>
      <c r="Q23" s="21">
        <f>SUM($C$6:$C23)</f>
        <v>1645</v>
      </c>
    </row>
    <row r="24" spans="2:17" x14ac:dyDescent="0.45">
      <c r="B24" s="14" t="s">
        <v>22</v>
      </c>
      <c r="C24">
        <f t="shared" si="0"/>
        <v>91</v>
      </c>
      <c r="D24" s="1">
        <v>97.34</v>
      </c>
      <c r="E24" s="15">
        <f t="shared" si="1"/>
        <v>2.6599999999999967E-2</v>
      </c>
      <c r="H24" s="20">
        <v>2.6507087498512799E-2</v>
      </c>
      <c r="I24" s="21">
        <f>SUM($C$2:$C24)</f>
        <v>2100</v>
      </c>
      <c r="J24" s="20">
        <v>2.6345219956590657E-2</v>
      </c>
      <c r="K24" s="21">
        <f>SUM($C$3:$C24)</f>
        <v>2009</v>
      </c>
      <c r="L24" s="20">
        <v>2.6189475949800541E-2</v>
      </c>
      <c r="M24" s="21">
        <f>SUM($C$4:$C24)</f>
        <v>1918</v>
      </c>
      <c r="N24" s="20">
        <v>2.603905708442077E-2</v>
      </c>
      <c r="O24" s="21">
        <f>SUM($C$5:$C24)</f>
        <v>1827</v>
      </c>
      <c r="P24" s="20">
        <v>2.5876931533926461E-2</v>
      </c>
      <c r="Q24" s="21">
        <f>SUM($C$6:$C24)</f>
        <v>1736</v>
      </c>
    </row>
    <row r="25" spans="2:17" ht="14.65" thickBot="1" x14ac:dyDescent="0.5">
      <c r="B25" s="16" t="s">
        <v>23</v>
      </c>
      <c r="C25" s="17">
        <f t="shared" si="0"/>
        <v>91</v>
      </c>
      <c r="D25" s="18">
        <v>97.295000000000002</v>
      </c>
      <c r="E25" s="19">
        <f t="shared" si="1"/>
        <v>2.7049999999999984E-2</v>
      </c>
      <c r="H25" s="22">
        <v>2.6703354687690535E-2</v>
      </c>
      <c r="I25" s="23">
        <f>SUM($C$2:$C25)</f>
        <v>2191</v>
      </c>
      <c r="J25" s="22">
        <v>2.6548093497961073E-2</v>
      </c>
      <c r="K25" s="23">
        <f>SUM($C$3:$C25)</f>
        <v>2100</v>
      </c>
      <c r="L25" s="22">
        <v>2.6399417196360495E-2</v>
      </c>
      <c r="M25" s="23">
        <f>SUM($C$4:$C25)</f>
        <v>2009</v>
      </c>
      <c r="N25" s="22">
        <v>2.6256619776402482E-2</v>
      </c>
      <c r="O25" s="23">
        <f>SUM($C$5:$C25)</f>
        <v>1918</v>
      </c>
      <c r="P25" s="22">
        <v>2.6103484385181501E-2</v>
      </c>
      <c r="Q25" s="23">
        <f>SUM($C$6:$C25)</f>
        <v>1827</v>
      </c>
    </row>
    <row r="26" spans="2:17" x14ac:dyDescent="0.45">
      <c r="B26" s="14" t="s">
        <v>24</v>
      </c>
      <c r="C26">
        <f t="shared" si="0"/>
        <v>91</v>
      </c>
      <c r="D26" s="1">
        <v>97.265000000000001</v>
      </c>
      <c r="E26" s="15">
        <f t="shared" si="1"/>
        <v>2.7349999999999996E-2</v>
      </c>
      <c r="H26" s="20">
        <v>2.6906392193928035E-2</v>
      </c>
      <c r="I26" s="21">
        <f>SUM($C$2:$C26)</f>
        <v>2282</v>
      </c>
      <c r="J26" s="20">
        <v>2.675731597914905E-2</v>
      </c>
      <c r="K26" s="21">
        <f>SUM($C$3:$C26)</f>
        <v>2191</v>
      </c>
      <c r="L26" s="20">
        <v>2.661521191769772E-2</v>
      </c>
      <c r="M26" s="21">
        <f>SUM($C$4:$C26)</f>
        <v>2100</v>
      </c>
      <c r="N26" s="20">
        <v>2.6479447761247558E-2</v>
      </c>
      <c r="O26" s="21">
        <f>SUM($C$5:$C26)</f>
        <v>2009</v>
      </c>
      <c r="P26" s="20">
        <v>2.6334529109265009E-2</v>
      </c>
      <c r="Q26" s="21">
        <f>SUM($C$6:$C26)</f>
        <v>1918</v>
      </c>
    </row>
    <row r="27" spans="2:17" x14ac:dyDescent="0.45">
      <c r="B27" s="14" t="s">
        <v>25</v>
      </c>
      <c r="C27">
        <f t="shared" si="0"/>
        <v>91</v>
      </c>
      <c r="D27" s="1">
        <v>97.234999999999999</v>
      </c>
      <c r="E27" s="15">
        <f t="shared" si="1"/>
        <v>2.7650000000000004E-2</v>
      </c>
      <c r="H27" s="20">
        <v>2.711575349870295E-2</v>
      </c>
      <c r="I27" s="21">
        <f>SUM($C$2:$C27)</f>
        <v>2373</v>
      </c>
      <c r="J27" s="20">
        <v>2.6972471209770029E-2</v>
      </c>
      <c r="K27" s="21">
        <f>SUM($C$3:$C27)</f>
        <v>2282</v>
      </c>
      <c r="L27" s="20">
        <v>2.683648603790708E-2</v>
      </c>
      <c r="M27" s="21">
        <f>SUM($C$4:$C27)</f>
        <v>2191</v>
      </c>
      <c r="N27" s="20">
        <v>2.6707224815047604E-2</v>
      </c>
      <c r="O27" s="21">
        <f>SUM($C$5:$C27)</f>
        <v>2100</v>
      </c>
      <c r="P27" s="20">
        <v>2.6569837753605413E-2</v>
      </c>
      <c r="Q27" s="21">
        <f>SUM($C$6:$C27)</f>
        <v>2009</v>
      </c>
    </row>
    <row r="28" spans="2:17" x14ac:dyDescent="0.45">
      <c r="B28" s="14" t="s">
        <v>26</v>
      </c>
      <c r="C28">
        <f t="shared" si="0"/>
        <v>91</v>
      </c>
      <c r="D28" s="1">
        <v>97.204999999999998</v>
      </c>
      <c r="E28" s="15">
        <f t="shared" si="1"/>
        <v>2.7950000000000016E-2</v>
      </c>
      <c r="H28" s="20">
        <v>2.7331065032503203E-2</v>
      </c>
      <c r="I28" s="21">
        <f>SUM($C$2:$C28)</f>
        <v>2464</v>
      </c>
      <c r="J28" s="20">
        <v>2.7193214046030159E-2</v>
      </c>
      <c r="K28" s="21">
        <f>SUM($C$3:$C28)</f>
        <v>2373</v>
      </c>
      <c r="L28" s="20">
        <v>2.7062932594245689E-2</v>
      </c>
      <c r="M28" s="21">
        <f>SUM($C$4:$C28)</f>
        <v>2282</v>
      </c>
      <c r="N28" s="20">
        <v>2.6939694953069679E-2</v>
      </c>
      <c r="O28" s="21">
        <f>SUM($C$5:$C28)</f>
        <v>2191</v>
      </c>
      <c r="P28" s="20">
        <v>2.6809229862527661E-2</v>
      </c>
      <c r="Q28" s="21">
        <f>SUM($C$6:$C28)</f>
        <v>2100</v>
      </c>
    </row>
    <row r="29" spans="2:17" ht="14.65" thickBot="1" x14ac:dyDescent="0.5">
      <c r="B29" s="16" t="s">
        <v>27</v>
      </c>
      <c r="C29" s="17">
        <f t="shared" si="0"/>
        <v>91</v>
      </c>
      <c r="D29" s="18">
        <v>97.174999999999997</v>
      </c>
      <c r="E29" s="19">
        <f t="shared" si="1"/>
        <v>2.8250000000000029E-2</v>
      </c>
      <c r="H29" s="22">
        <v>2.7552013325654313E-2</v>
      </c>
      <c r="I29" s="23">
        <f>SUM($C$2:$C29)</f>
        <v>2555</v>
      </c>
      <c r="J29" s="22">
        <v>2.7419257417341487E-2</v>
      </c>
      <c r="K29" s="23">
        <f>SUM($C$3:$C29)</f>
        <v>2464</v>
      </c>
      <c r="L29" s="22">
        <v>2.7294299019451032E-2</v>
      </c>
      <c r="M29" s="23">
        <f>SUM($C$4:$C29)</f>
        <v>2373</v>
      </c>
      <c r="N29" s="22">
        <v>2.7176650574492846E-2</v>
      </c>
      <c r="O29" s="23">
        <f>SUM($C$5:$C29)</f>
        <v>2282</v>
      </c>
      <c r="P29" s="22">
        <v>2.7052562774704619E-2</v>
      </c>
      <c r="Q29" s="23">
        <f>SUM($C$6:$C29)</f>
        <v>2191</v>
      </c>
    </row>
    <row r="30" spans="2:17" x14ac:dyDescent="0.45">
      <c r="B30" s="14" t="s">
        <v>28</v>
      </c>
      <c r="C30">
        <f t="shared" si="0"/>
        <v>91</v>
      </c>
      <c r="D30" s="1">
        <v>97.165000000000006</v>
      </c>
      <c r="E30" s="15">
        <f t="shared" si="1"/>
        <v>2.8349999999999938E-2</v>
      </c>
      <c r="H30" s="20">
        <v>2.7770111504019826E-2</v>
      </c>
      <c r="I30" s="21">
        <f>SUM($C$2:$C30)</f>
        <v>2646</v>
      </c>
      <c r="J30" s="20">
        <v>2.7641902016779716E-2</v>
      </c>
      <c r="K30" s="21">
        <f>SUM($C$3:$C30)</f>
        <v>2555</v>
      </c>
      <c r="L30" s="20">
        <v>2.7521661965175907E-2</v>
      </c>
      <c r="M30" s="21">
        <f>SUM($C$4:$C30)</f>
        <v>2464</v>
      </c>
      <c r="N30" s="20">
        <v>2.7408932479100822E-2</v>
      </c>
      <c r="O30" s="21">
        <f>SUM($C$5:$C30)</f>
        <v>2373</v>
      </c>
      <c r="P30" s="20">
        <v>2.7290435666998819E-2</v>
      </c>
      <c r="Q30" s="21">
        <f>SUM($C$6:$C30)</f>
        <v>2282</v>
      </c>
    </row>
    <row r="31" spans="2:17" x14ac:dyDescent="0.45">
      <c r="B31" s="14" t="s">
        <v>29</v>
      </c>
      <c r="C31">
        <f t="shared" si="0"/>
        <v>91</v>
      </c>
      <c r="D31" s="1">
        <v>97.144999999999996</v>
      </c>
      <c r="E31" s="15">
        <f t="shared" si="1"/>
        <v>2.8550000000000041E-2</v>
      </c>
      <c r="H31" s="20">
        <v>2.7989789497754873E-2</v>
      </c>
      <c r="I31" s="21">
        <f>SUM($C$2:$C31)</f>
        <v>2737</v>
      </c>
      <c r="J31" s="20">
        <v>2.7865758494231452E-2</v>
      </c>
      <c r="K31" s="21">
        <f>SUM($C$3:$C31)</f>
        <v>2646</v>
      </c>
      <c r="L31" s="20">
        <v>2.7749832103415865E-2</v>
      </c>
      <c r="M31" s="21">
        <f>SUM($C$4:$C31)</f>
        <v>2555</v>
      </c>
      <c r="N31" s="20">
        <v>2.7641573817564134E-2</v>
      </c>
      <c r="O31" s="21">
        <f>SUM($C$5:$C31)</f>
        <v>2464</v>
      </c>
      <c r="P31" s="20">
        <v>2.7528134665850343E-2</v>
      </c>
      <c r="Q31" s="21">
        <f>SUM($C$6:$C31)</f>
        <v>2373</v>
      </c>
    </row>
    <row r="32" spans="2:17" x14ac:dyDescent="0.45">
      <c r="B32" s="14" t="s">
        <v>30</v>
      </c>
      <c r="C32">
        <f t="shared" si="0"/>
        <v>91</v>
      </c>
      <c r="D32" s="1">
        <v>97.125</v>
      </c>
      <c r="E32" s="15">
        <f t="shared" si="1"/>
        <v>2.8750000000000001E-2</v>
      </c>
      <c r="H32" s="20">
        <v>2.8211118191917052E-2</v>
      </c>
      <c r="I32" s="21">
        <f>SUM($C$2:$C32)</f>
        <v>2828</v>
      </c>
      <c r="J32" s="20">
        <v>2.8090935271133131E-2</v>
      </c>
      <c r="K32" s="21">
        <f>SUM($C$3:$C32)</f>
        <v>2737</v>
      </c>
      <c r="L32" s="20">
        <v>2.7978961788996556E-2</v>
      </c>
      <c r="M32" s="21">
        <f>SUM($C$4:$C32)</f>
        <v>2646</v>
      </c>
      <c r="N32" s="20">
        <v>2.7874778632585983E-2</v>
      </c>
      <c r="O32" s="21">
        <f>SUM($C$5:$C32)</f>
        <v>2555</v>
      </c>
      <c r="P32" s="20">
        <v>2.7765928804661444E-2</v>
      </c>
      <c r="Q32" s="21">
        <f>SUM($C$6:$C32)</f>
        <v>2464</v>
      </c>
    </row>
    <row r="33" spans="2:17" ht="14.65" thickBot="1" x14ac:dyDescent="0.5">
      <c r="B33" s="16" t="s">
        <v>31</v>
      </c>
      <c r="C33" s="17">
        <f t="shared" si="0"/>
        <v>91</v>
      </c>
      <c r="D33" s="18">
        <v>97.105000000000004</v>
      </c>
      <c r="E33" s="19">
        <f t="shared" si="1"/>
        <v>2.8949999999999962E-2</v>
      </c>
      <c r="H33" s="22">
        <v>2.8434163503077384E-2</v>
      </c>
      <c r="I33" s="23">
        <f>SUM($C$2:$C33)</f>
        <v>2919</v>
      </c>
      <c r="J33" s="22">
        <v>2.8317530782830634E-2</v>
      </c>
      <c r="K33" s="23">
        <f>SUM($C$3:$C33)</f>
        <v>2828</v>
      </c>
      <c r="L33" s="22">
        <v>2.8209187189053613E-2</v>
      </c>
      <c r="M33" s="23">
        <f>SUM($C$4:$C33)</f>
        <v>2737</v>
      </c>
      <c r="N33" s="22">
        <v>2.8108727084651237E-2</v>
      </c>
      <c r="O33" s="23">
        <f>SUM($C$5:$C33)</f>
        <v>2646</v>
      </c>
      <c r="P33" s="22">
        <v>2.8004053096862849E-2</v>
      </c>
      <c r="Q33" s="23">
        <f>SUM($C$6:$C33)</f>
        <v>2555</v>
      </c>
    </row>
    <row r="34" spans="2:17" x14ac:dyDescent="0.45">
      <c r="B34" s="14" t="s">
        <v>32</v>
      </c>
      <c r="C34">
        <f t="shared" si="0"/>
        <v>91</v>
      </c>
      <c r="D34" s="1">
        <v>97.094999999999999</v>
      </c>
      <c r="E34" s="15">
        <f t="shared" si="1"/>
        <v>2.905000000000001E-2</v>
      </c>
      <c r="H34" s="20">
        <v>2.865526692191981E-2</v>
      </c>
      <c r="I34" s="21">
        <f>SUM($C$2:$C34)</f>
        <v>3010</v>
      </c>
      <c r="J34" s="20">
        <v>2.8541824111972227E-2</v>
      </c>
      <c r="K34" s="21">
        <f>SUM($C$3:$C34)</f>
        <v>2919</v>
      </c>
      <c r="L34" s="20">
        <v>2.8436723018959664E-2</v>
      </c>
      <c r="M34" s="21">
        <f>SUM($C$4:$C34)</f>
        <v>2828</v>
      </c>
      <c r="N34" s="20">
        <v>2.8339567787102369E-2</v>
      </c>
      <c r="O34" s="21">
        <f>SUM($C$5:$C34)</f>
        <v>2737</v>
      </c>
      <c r="P34" s="20">
        <v>2.8238591775012596E-2</v>
      </c>
      <c r="Q34" s="21">
        <f>SUM($C$6:$C34)</f>
        <v>2646</v>
      </c>
    </row>
    <row r="35" spans="2:17" x14ac:dyDescent="0.45">
      <c r="B35" s="14" t="s">
        <v>33</v>
      </c>
      <c r="C35">
        <f t="shared" si="0"/>
        <v>91</v>
      </c>
      <c r="D35" s="1">
        <v>97.084999999999994</v>
      </c>
      <c r="E35" s="15">
        <f t="shared" si="1"/>
        <v>2.9150000000000061E-2</v>
      </c>
      <c r="H35" s="20">
        <v>2.8874734442233332E-2</v>
      </c>
      <c r="I35" s="21">
        <f>SUM($C$2:$C35)</f>
        <v>3101</v>
      </c>
      <c r="J35" s="20">
        <v>2.8764162264644327E-2</v>
      </c>
      <c r="K35" s="21">
        <f>SUM($C$3:$C35)</f>
        <v>3010</v>
      </c>
      <c r="L35" s="20">
        <v>2.8661962402726188E-2</v>
      </c>
      <c r="M35" s="21">
        <f>SUM($C$4:$C35)</f>
        <v>2919</v>
      </c>
      <c r="N35" s="20">
        <v>2.8567745935906896E-2</v>
      </c>
      <c r="O35" s="21">
        <f>SUM($C$5:$C35)</f>
        <v>2828</v>
      </c>
      <c r="P35" s="20">
        <v>2.8470051525448455E-2</v>
      </c>
      <c r="Q35" s="21">
        <f>SUM($C$6:$C35)</f>
        <v>2737</v>
      </c>
    </row>
    <row r="36" spans="2:17" x14ac:dyDescent="0.45">
      <c r="B36" s="14" t="s">
        <v>34</v>
      </c>
      <c r="C36">
        <f t="shared" si="0"/>
        <v>91</v>
      </c>
      <c r="D36" s="1">
        <v>97.075000000000003</v>
      </c>
      <c r="E36" s="15">
        <f t="shared" si="1"/>
        <v>2.924999999999997E-2</v>
      </c>
      <c r="H36" s="20">
        <v>2.9092838959291482E-2</v>
      </c>
      <c r="I36" s="21">
        <f>SUM($C$2:$C36)</f>
        <v>3192</v>
      </c>
      <c r="J36" s="20">
        <v>2.8984853350873759E-2</v>
      </c>
      <c r="K36" s="21">
        <f>SUM($C$3:$C36)</f>
        <v>3101</v>
      </c>
      <c r="L36" s="20">
        <v>2.8885252802975929E-2</v>
      </c>
      <c r="M36" s="21">
        <f>SUM($C$4:$C36)</f>
        <v>3010</v>
      </c>
      <c r="N36" s="20">
        <v>2.8793653136205972E-2</v>
      </c>
      <c r="O36" s="21">
        <f>SUM($C$5:$C36)</f>
        <v>2919</v>
      </c>
      <c r="P36" s="20">
        <v>2.8698875791697193E-2</v>
      </c>
      <c r="Q36" s="21">
        <f>SUM($C$6:$C36)</f>
        <v>2828</v>
      </c>
    </row>
    <row r="37" spans="2:17" ht="14.65" thickBot="1" x14ac:dyDescent="0.5">
      <c r="B37" s="16" t="s">
        <v>35</v>
      </c>
      <c r="C37" s="17">
        <f t="shared" si="0"/>
        <v>91</v>
      </c>
      <c r="D37" s="18">
        <v>97.034999999999997</v>
      </c>
      <c r="E37" s="19">
        <f t="shared" si="1"/>
        <v>2.9650000000000034E-2</v>
      </c>
      <c r="H37" s="22">
        <v>2.9320285502043509E-2</v>
      </c>
      <c r="I37" s="23">
        <f>SUM($C$2:$C37)</f>
        <v>3283</v>
      </c>
      <c r="J37" s="22">
        <v>2.9214860142262215E-2</v>
      </c>
      <c r="K37" s="23">
        <f>SUM($C$3:$C37)</f>
        <v>3192</v>
      </c>
      <c r="L37" s="22">
        <v>2.9117832544433949E-2</v>
      </c>
      <c r="M37" s="23">
        <f>SUM($C$4:$C37)</f>
        <v>3101</v>
      </c>
      <c r="N37" s="22">
        <v>2.902882280367948E-2</v>
      </c>
      <c r="O37" s="23">
        <f>SUM($C$5:$C37)</f>
        <v>3010</v>
      </c>
      <c r="P37" s="22">
        <v>2.8936915662924716E-2</v>
      </c>
      <c r="Q37" s="23">
        <f>SUM($C$6:$C37)</f>
        <v>2919</v>
      </c>
    </row>
    <row r="38" spans="2:17" x14ac:dyDescent="0.45">
      <c r="B38" s="14" t="s">
        <v>36</v>
      </c>
      <c r="C38">
        <f t="shared" si="0"/>
        <v>98</v>
      </c>
      <c r="D38" s="1">
        <v>97.025000000000006</v>
      </c>
      <c r="E38" s="15">
        <f t="shared" si="1"/>
        <v>2.9749999999999943E-2</v>
      </c>
      <c r="H38" s="20">
        <v>2.9563311871933572E-2</v>
      </c>
      <c r="I38" s="21">
        <f>SUM($C$2:$C38)</f>
        <v>3381</v>
      </c>
      <c r="J38" s="20">
        <v>2.9460352616060129E-2</v>
      </c>
      <c r="K38" s="21">
        <f>SUM($C$3:$C38)</f>
        <v>3290</v>
      </c>
      <c r="L38" s="20">
        <v>2.9365788665532005E-2</v>
      </c>
      <c r="M38" s="21">
        <f>SUM($C$4:$C38)</f>
        <v>3199</v>
      </c>
      <c r="N38" s="20">
        <v>2.9279242925111082E-2</v>
      </c>
      <c r="O38" s="21">
        <f>SUM($C$5:$C38)</f>
        <v>3108</v>
      </c>
      <c r="P38" s="20">
        <v>2.9190063322917095E-2</v>
      </c>
      <c r="Q38" s="21">
        <f>SUM($C$6:$C38)</f>
        <v>3017</v>
      </c>
    </row>
    <row r="39" spans="2:17" x14ac:dyDescent="0.45">
      <c r="B39" s="14" t="s">
        <v>37</v>
      </c>
      <c r="C39">
        <f t="shared" si="0"/>
        <v>91</v>
      </c>
      <c r="D39" s="1">
        <v>97.01</v>
      </c>
      <c r="E39" s="15">
        <f t="shared" si="1"/>
        <v>2.9899999999999947E-2</v>
      </c>
      <c r="H39" s="20">
        <v>2.9789721192139042E-2</v>
      </c>
      <c r="I39" s="21">
        <f>SUM($C$2:$C39)</f>
        <v>3472</v>
      </c>
      <c r="J39" s="20">
        <v>2.9688855757711644E-2</v>
      </c>
      <c r="K39" s="21">
        <f>SUM($C$3:$C39)</f>
        <v>3381</v>
      </c>
      <c r="L39" s="20">
        <v>2.9596373991400731E-2</v>
      </c>
      <c r="M39" s="21">
        <f>SUM($C$4:$C39)</f>
        <v>3290</v>
      </c>
      <c r="N39" s="20">
        <v>2.9511900347866663E-2</v>
      </c>
      <c r="O39" s="21">
        <f>SUM($C$5:$C39)</f>
        <v>3199</v>
      </c>
      <c r="P39" s="20">
        <v>2.9425010279304914E-2</v>
      </c>
      <c r="Q39" s="21">
        <f>SUM($C$6:$C39)</f>
        <v>3108</v>
      </c>
    </row>
    <row r="40" spans="2:17" x14ac:dyDescent="0.45">
      <c r="B40" s="14" t="s">
        <v>38</v>
      </c>
      <c r="C40">
        <f t="shared" si="0"/>
        <v>91</v>
      </c>
      <c r="D40" s="1">
        <v>97.004999999999995</v>
      </c>
      <c r="E40" s="15">
        <f t="shared" si="1"/>
        <v>2.9950000000000046E-2</v>
      </c>
      <c r="H40" s="20">
        <v>3.0013583564164E-2</v>
      </c>
      <c r="I40" s="21">
        <f>SUM($C$2:$C40)</f>
        <v>3563</v>
      </c>
      <c r="J40" s="20">
        <v>2.9914574494571047E-2</v>
      </c>
      <c r="K40" s="21">
        <f>SUM($C$3:$C40)</f>
        <v>3472</v>
      </c>
      <c r="L40" s="20">
        <v>2.9823926242049624E-2</v>
      </c>
      <c r="M40" s="21">
        <f>SUM($C$4:$C40)</f>
        <v>3381</v>
      </c>
      <c r="N40" s="20">
        <v>2.9741263721359556E-2</v>
      </c>
      <c r="O40" s="21">
        <f>SUM($C$5:$C40)</f>
        <v>3290</v>
      </c>
      <c r="P40" s="20">
        <v>2.9656375164709956E-2</v>
      </c>
      <c r="Q40" s="21">
        <f>SUM($C$6:$C40)</f>
        <v>3199</v>
      </c>
    </row>
    <row r="41" spans="2:17" ht="14.65" thickBot="1" x14ac:dyDescent="0.5">
      <c r="B41" s="16" t="s">
        <v>39</v>
      </c>
      <c r="C41" s="17">
        <f t="shared" si="0"/>
        <v>91</v>
      </c>
      <c r="D41" s="18">
        <v>96.995000000000005</v>
      </c>
      <c r="E41" s="19">
        <f t="shared" si="1"/>
        <v>3.0049999999999955E-2</v>
      </c>
      <c r="H41" s="22">
        <v>3.0236795112651794E-2</v>
      </c>
      <c r="I41" s="23">
        <f>SUM($C$2:$C41)</f>
        <v>3654</v>
      </c>
      <c r="J41" s="22">
        <v>3.0139460052357205E-2</v>
      </c>
      <c r="K41" s="23">
        <f>SUM($C$3:$C41)</f>
        <v>3563</v>
      </c>
      <c r="L41" s="22">
        <v>3.0050455692330866E-2</v>
      </c>
      <c r="M41" s="23">
        <f>SUM($C$4:$C41)</f>
        <v>3472</v>
      </c>
      <c r="N41" s="22">
        <v>2.9969406710532456E-2</v>
      </c>
      <c r="O41" s="23">
        <f>SUM($C$5:$C41)</f>
        <v>3381</v>
      </c>
      <c r="P41" s="22">
        <v>2.9886300817381951E-2</v>
      </c>
      <c r="Q41" s="23">
        <f>SUM($C$6:$C41)</f>
        <v>3290</v>
      </c>
    </row>
    <row r="42" spans="2:17" ht="14.65" thickBot="1" x14ac:dyDescent="0.5">
      <c r="B42" s="16" t="s">
        <v>40</v>
      </c>
      <c r="C42" s="17"/>
      <c r="D42" s="18">
        <v>96.99</v>
      </c>
      <c r="E42" s="19">
        <f t="shared" si="1"/>
        <v>3.010000000000005E-2</v>
      </c>
    </row>
    <row r="43" spans="2:17" x14ac:dyDescent="0.45">
      <c r="C43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BO265"/>
  <sheetViews>
    <sheetView workbookViewId="0">
      <selection activeCell="AJ31" sqref="AJ31"/>
    </sheetView>
  </sheetViews>
  <sheetFormatPr defaultRowHeight="14.25" x14ac:dyDescent="0.45"/>
  <cols>
    <col min="1" max="1" width="9.9296875" style="12" bestFit="1" customWidth="1"/>
    <col min="2" max="2" width="9.9296875" style="13" bestFit="1" customWidth="1"/>
    <col min="3" max="3" width="9.19921875" style="8" bestFit="1" customWidth="1"/>
    <col min="4" max="4" width="10.3984375" style="13" bestFit="1" customWidth="1"/>
    <col min="5" max="5" width="9.19921875" style="8" bestFit="1" customWidth="1"/>
    <col min="6" max="6" width="10.3984375" style="13" bestFit="1" customWidth="1"/>
    <col min="7" max="7" width="8.19921875" style="8" bestFit="1" customWidth="1"/>
    <col min="8" max="8" width="10.3984375" style="13" bestFit="1" customWidth="1"/>
    <col min="9" max="9" width="9.19921875" style="8" bestFit="1" customWidth="1"/>
    <col min="10" max="10" width="10.3984375" style="13" bestFit="1" customWidth="1"/>
    <col min="11" max="11" width="9.19921875" style="8" bestFit="1" customWidth="1"/>
    <col min="12" max="12" width="10.3984375" style="13" bestFit="1" customWidth="1"/>
    <col min="13" max="13" width="9.19921875" style="8" bestFit="1" customWidth="1"/>
    <col min="14" max="14" width="10.3984375" style="13" bestFit="1" customWidth="1"/>
    <col min="15" max="15" width="9.19921875" style="8" bestFit="1" customWidth="1"/>
    <col min="16" max="16" width="10.3984375" style="8" bestFit="1" customWidth="1"/>
    <col min="17" max="18" width="5.1328125" style="8" bestFit="1" customWidth="1"/>
    <col min="19" max="19" width="8.19921875" style="8" bestFit="1" customWidth="1"/>
    <col min="20" max="20" width="11.73046875" style="8" bestFit="1" customWidth="1"/>
    <col min="21" max="21" width="6.53125" style="8" bestFit="1" customWidth="1"/>
    <col min="22" max="22" width="9.46484375" style="8" bestFit="1" customWidth="1"/>
    <col min="23" max="29" width="11.73046875" style="8" bestFit="1" customWidth="1"/>
    <col min="30" max="30" width="10.06640625" style="8" customWidth="1"/>
    <col min="31" max="31" width="6.53125" style="8" bestFit="1" customWidth="1"/>
    <col min="32" max="32" width="11.46484375" style="8" bestFit="1" customWidth="1"/>
    <col min="33" max="33" width="16.19921875" style="8" bestFit="1" customWidth="1"/>
    <col min="34" max="34" width="12.33203125" style="8" bestFit="1" customWidth="1"/>
    <col min="35" max="35" width="9.06640625" style="8"/>
    <col min="36" max="36" width="16.06640625" style="8" bestFit="1" customWidth="1"/>
    <col min="37" max="37" width="11.46484375" style="8" bestFit="1" customWidth="1"/>
    <col min="38" max="56" width="12.33203125" style="8" bestFit="1" customWidth="1"/>
    <col min="57" max="58" width="11.73046875" style="8" bestFit="1" customWidth="1"/>
    <col min="59" max="61" width="12.33203125" style="8" bestFit="1" customWidth="1"/>
    <col min="62" max="67" width="11.73046875" style="8" bestFit="1" customWidth="1"/>
    <col min="68" max="16384" width="9.06640625" style="8"/>
  </cols>
  <sheetData>
    <row r="1" spans="1:67" s="7" customFormat="1" ht="14.65" thickBot="1" x14ac:dyDescent="0.5">
      <c r="A1" s="4" t="s">
        <v>50</v>
      </c>
      <c r="B1" s="43" t="s">
        <v>51</v>
      </c>
      <c r="C1" s="44" t="s">
        <v>43</v>
      </c>
      <c r="D1" s="45" t="s">
        <v>54</v>
      </c>
      <c r="E1" s="44" t="s">
        <v>44</v>
      </c>
      <c r="F1" s="45" t="s">
        <v>54</v>
      </c>
      <c r="G1" s="44" t="s">
        <v>45</v>
      </c>
      <c r="H1" s="45" t="s">
        <v>54</v>
      </c>
      <c r="I1" s="44" t="s">
        <v>46</v>
      </c>
      <c r="J1" s="45" t="s">
        <v>54</v>
      </c>
      <c r="K1" s="44" t="s">
        <v>47</v>
      </c>
      <c r="L1" s="45" t="s">
        <v>54</v>
      </c>
      <c r="M1" s="44" t="s">
        <v>48</v>
      </c>
      <c r="N1" s="45" t="s">
        <v>54</v>
      </c>
      <c r="O1" s="44" t="s">
        <v>49</v>
      </c>
      <c r="P1" s="45" t="s">
        <v>54</v>
      </c>
      <c r="R1" s="47" t="s">
        <v>67</v>
      </c>
      <c r="S1" s="62" t="s">
        <v>56</v>
      </c>
      <c r="U1" s="8" t="s">
        <v>65</v>
      </c>
      <c r="V1" s="59" t="s">
        <v>55</v>
      </c>
      <c r="W1" s="60" t="s">
        <v>43</v>
      </c>
      <c r="X1" s="60" t="s">
        <v>44</v>
      </c>
      <c r="Y1" s="60" t="s">
        <v>45</v>
      </c>
      <c r="Z1" s="60" t="s">
        <v>46</v>
      </c>
      <c r="AA1" s="60" t="s">
        <v>47</v>
      </c>
      <c r="AB1" s="60" t="s">
        <v>48</v>
      </c>
      <c r="AC1" s="46" t="s">
        <v>49</v>
      </c>
      <c r="AE1" s="8" t="s">
        <v>66</v>
      </c>
      <c r="AF1" s="8"/>
      <c r="AG1" s="59" t="s">
        <v>73</v>
      </c>
      <c r="AH1" s="45" t="s">
        <v>74</v>
      </c>
      <c r="AJ1" s="8" t="s">
        <v>70</v>
      </c>
      <c r="AK1" s="81" t="s">
        <v>69</v>
      </c>
      <c r="AL1" s="77">
        <v>3.2258064516128997E-2</v>
      </c>
      <c r="AM1" s="75">
        <v>6.4516129032258063E-2</v>
      </c>
      <c r="AN1" s="75">
        <v>9.6774193548387094E-2</v>
      </c>
      <c r="AO1" s="75">
        <v>0.12903225806451599</v>
      </c>
      <c r="AP1" s="75">
        <v>0.16129032258064499</v>
      </c>
      <c r="AQ1" s="75">
        <v>0.19354838709677399</v>
      </c>
      <c r="AR1" s="75">
        <v>0.225806451612903</v>
      </c>
      <c r="AS1" s="75">
        <v>0.25806451612903197</v>
      </c>
      <c r="AT1" s="75">
        <v>0.29032258064516098</v>
      </c>
      <c r="AU1" s="75">
        <v>0.32258064516128998</v>
      </c>
      <c r="AV1" s="75">
        <v>0.35483870967741898</v>
      </c>
      <c r="AW1" s="75">
        <v>0.38709677419354799</v>
      </c>
      <c r="AX1" s="75">
        <v>0.41935483870967699</v>
      </c>
      <c r="AY1" s="75">
        <v>0.45161290322580599</v>
      </c>
      <c r="AZ1" s="75">
        <v>0.483870967741935</v>
      </c>
      <c r="BA1" s="75">
        <v>0.51612903225806395</v>
      </c>
      <c r="BB1" s="75">
        <v>0.54838709677419395</v>
      </c>
      <c r="BC1" s="75">
        <v>0.58064516129032295</v>
      </c>
      <c r="BD1" s="75">
        <v>0.61290322580645196</v>
      </c>
      <c r="BE1" s="75">
        <v>0.64516129032258096</v>
      </c>
      <c r="BF1" s="75">
        <v>0.67741935483870996</v>
      </c>
      <c r="BG1" s="75">
        <v>0.70967741935483897</v>
      </c>
      <c r="BH1" s="75">
        <v>0.74193548387096797</v>
      </c>
      <c r="BI1" s="75">
        <v>0.77419354838709697</v>
      </c>
      <c r="BJ1" s="75">
        <v>0.80645161290322598</v>
      </c>
      <c r="BK1" s="75">
        <v>0.83870967741935498</v>
      </c>
      <c r="BL1" s="75">
        <v>0.87096774193548399</v>
      </c>
      <c r="BM1" s="75">
        <v>0.90322580645161299</v>
      </c>
      <c r="BN1" s="75">
        <v>0.93548387096774199</v>
      </c>
      <c r="BO1" s="76">
        <v>0.967741935483871</v>
      </c>
    </row>
    <row r="2" spans="1:67" x14ac:dyDescent="0.45">
      <c r="A2" s="5">
        <v>41640</v>
      </c>
      <c r="B2" s="39">
        <v>41638</v>
      </c>
      <c r="C2" s="41">
        <v>58.779998999999997</v>
      </c>
      <c r="D2" s="36" t="e">
        <v>#N/A</v>
      </c>
      <c r="E2" s="41">
        <v>76.110000999999997</v>
      </c>
      <c r="F2" s="36" t="e">
        <v>#N/A</v>
      </c>
      <c r="G2" s="41">
        <v>63.490001999999997</v>
      </c>
      <c r="H2" s="36" t="e">
        <v>#N/A</v>
      </c>
      <c r="I2" s="41">
        <v>20.440000999999999</v>
      </c>
      <c r="J2" s="36" t="e">
        <v>#N/A</v>
      </c>
      <c r="K2" s="41">
        <v>36.909999999999997</v>
      </c>
      <c r="L2" s="36" t="e">
        <v>#N/A</v>
      </c>
      <c r="M2" s="41">
        <v>99.510002</v>
      </c>
      <c r="N2" s="36" t="e">
        <v>#N/A</v>
      </c>
      <c r="O2" s="41">
        <v>55.290000999999997</v>
      </c>
      <c r="P2" s="36" t="e">
        <v>#N/A</v>
      </c>
      <c r="R2" s="48" t="s">
        <v>43</v>
      </c>
      <c r="S2" s="89">
        <f>AVERAGE(D3:D263)</f>
        <v>4.2486518553757017E-3</v>
      </c>
      <c r="T2" s="88"/>
      <c r="V2" s="48" t="s">
        <v>43</v>
      </c>
      <c r="W2" s="56">
        <f>COVAR($D$3:$D$263,$D$3:$D$263)</f>
        <v>2.9041281631996918E-3</v>
      </c>
      <c r="X2" s="57">
        <f>COVAR($F$3:$F$263,$D$3:$D$263)</f>
        <v>2.9743368187654638E-4</v>
      </c>
      <c r="Y2" s="57">
        <f>COVAR($H$3:$H$263,$D$3:$D$263)</f>
        <v>4.340022936703792E-4</v>
      </c>
      <c r="Z2" s="57">
        <f>COVAR($J$3:$J$263,$D$3:$D$263)</f>
        <v>2.1302247614863332E-4</v>
      </c>
      <c r="AA2" s="57">
        <f>COVAR($L$3:$L$263,$D$3:$D$263)</f>
        <v>2.9828906597576145E-4</v>
      </c>
      <c r="AB2" s="57">
        <f>COVAR($N$3:$N$263,$D$3:$D$263)</f>
        <v>2.3233492872970669E-4</v>
      </c>
      <c r="AC2" s="58">
        <f>COVAR($P$3:$P$263,$D$3:$D$263)</f>
        <v>2.8146007525510725E-4</v>
      </c>
      <c r="AF2" s="61" t="s">
        <v>43</v>
      </c>
      <c r="AG2" s="64">
        <f t="array" ref="AG2:AG8">GetMinVarPortfolio(W2:AC8)</f>
        <v>2.9036481063974991E-2</v>
      </c>
      <c r="AH2" s="36">
        <f t="array" ref="AH2:AH8">GetAnEfficientPortfolio(W2:AC8,S2:S8)</f>
        <v>0.22148756866137659</v>
      </c>
      <c r="AJ2" s="8" t="s">
        <v>71</v>
      </c>
      <c r="AK2" s="48" t="s">
        <v>43</v>
      </c>
      <c r="AL2" s="78">
        <f>$AG2 * AL$1 + $AH2 * (1 - AL$1)</f>
        <v>0.21527946906146042</v>
      </c>
      <c r="AM2" s="73">
        <f t="shared" ref="AM2:BO8" si="0">$AG2 * AM$1 + $AH2 * (1 - AM$1)</f>
        <v>0.20907136946154423</v>
      </c>
      <c r="AN2" s="73">
        <f t="shared" si="0"/>
        <v>0.20286326986162806</v>
      </c>
      <c r="AO2" s="73">
        <f t="shared" si="0"/>
        <v>0.19665517026171189</v>
      </c>
      <c r="AP2" s="73">
        <f t="shared" si="0"/>
        <v>0.19044707066179573</v>
      </c>
      <c r="AQ2" s="73">
        <f t="shared" si="0"/>
        <v>0.18423897106187953</v>
      </c>
      <c r="AR2" s="73">
        <f t="shared" si="0"/>
        <v>0.17803087146196336</v>
      </c>
      <c r="AS2" s="73">
        <f t="shared" si="0"/>
        <v>0.17182277186204717</v>
      </c>
      <c r="AT2" s="73">
        <f t="shared" si="0"/>
        <v>0.165614672262131</v>
      </c>
      <c r="AU2" s="73">
        <f t="shared" si="0"/>
        <v>0.15940657266221486</v>
      </c>
      <c r="AV2" s="73">
        <f t="shared" si="0"/>
        <v>0.15319847306229867</v>
      </c>
      <c r="AW2" s="73">
        <f t="shared" si="0"/>
        <v>0.1469903734623825</v>
      </c>
      <c r="AX2" s="73">
        <f t="shared" si="0"/>
        <v>0.14078227386246631</v>
      </c>
      <c r="AY2" s="73">
        <f t="shared" si="0"/>
        <v>0.13457417426255014</v>
      </c>
      <c r="AZ2" s="73">
        <f t="shared" si="0"/>
        <v>0.12836607466263397</v>
      </c>
      <c r="BA2" s="73">
        <f t="shared" si="0"/>
        <v>0.12215797506271781</v>
      </c>
      <c r="BB2" s="73">
        <f t="shared" si="0"/>
        <v>0.11594987546280144</v>
      </c>
      <c r="BC2" s="73">
        <f t="shared" si="0"/>
        <v>0.10974177586288528</v>
      </c>
      <c r="BD2" s="73">
        <f t="shared" si="0"/>
        <v>0.1035336762629691</v>
      </c>
      <c r="BE2" s="73">
        <f t="shared" si="0"/>
        <v>9.7325576663052915E-2</v>
      </c>
      <c r="BF2" s="73">
        <f t="shared" si="0"/>
        <v>9.1117477063136748E-2</v>
      </c>
      <c r="BG2" s="73">
        <f t="shared" si="0"/>
        <v>8.4909377463220567E-2</v>
      </c>
      <c r="BH2" s="73">
        <f t="shared" si="0"/>
        <v>7.8701277863304386E-2</v>
      </c>
      <c r="BI2" s="73">
        <f t="shared" si="0"/>
        <v>7.2493178263388219E-2</v>
      </c>
      <c r="BJ2" s="73">
        <f t="shared" si="0"/>
        <v>6.6285078663472038E-2</v>
      </c>
      <c r="BK2" s="73">
        <f t="shared" si="0"/>
        <v>6.0076979063555871E-2</v>
      </c>
      <c r="BL2" s="73">
        <f t="shared" si="0"/>
        <v>5.3868879463639691E-2</v>
      </c>
      <c r="BM2" s="73">
        <f t="shared" si="0"/>
        <v>4.7660779863723517E-2</v>
      </c>
      <c r="BN2" s="73">
        <f t="shared" si="0"/>
        <v>4.1452680263807343E-2</v>
      </c>
      <c r="BO2" s="74">
        <f t="shared" si="0"/>
        <v>3.5244580663891169E-2</v>
      </c>
    </row>
    <row r="3" spans="1:67" x14ac:dyDescent="0.45">
      <c r="A3" s="5">
        <v>43466</v>
      </c>
      <c r="B3" s="39">
        <v>41645</v>
      </c>
      <c r="C3" s="41">
        <v>59.599997999999999</v>
      </c>
      <c r="D3" s="37">
        <f>(C3-C2)/C2</f>
        <v>1.3950306463938572E-2</v>
      </c>
      <c r="E3" s="41">
        <v>75.389999000000003</v>
      </c>
      <c r="F3" s="37">
        <f>(E3-E2)/E2</f>
        <v>-9.4600182701350087E-3</v>
      </c>
      <c r="G3" s="41">
        <v>62.619999</v>
      </c>
      <c r="H3" s="37">
        <f>(G3-G2)/G2</f>
        <v>-1.3702992165601082E-2</v>
      </c>
      <c r="I3" s="41">
        <v>21.17</v>
      </c>
      <c r="J3" s="37">
        <f>(I3-I2)/I2</f>
        <v>3.5714235043335027E-2</v>
      </c>
      <c r="K3" s="41">
        <v>36.040000999999997</v>
      </c>
      <c r="L3" s="37">
        <f>(K3-K2)/K2</f>
        <v>-2.3570820915740993E-2</v>
      </c>
      <c r="M3" s="41">
        <v>100.519997</v>
      </c>
      <c r="N3" s="37">
        <f>(M3-M2)/M2</f>
        <v>1.0149683244906412E-2</v>
      </c>
      <c r="O3" s="41">
        <v>55.282501000000003</v>
      </c>
      <c r="P3" s="37">
        <f>(O3-O2)/O2</f>
        <v>-1.3564839689536592E-4</v>
      </c>
      <c r="R3" s="48" t="s">
        <v>44</v>
      </c>
      <c r="S3" s="89">
        <f>AVERAGE(F3:F263)</f>
        <v>1.736743228282632E-3</v>
      </c>
      <c r="T3" s="88"/>
      <c r="V3" s="48" t="s">
        <v>44</v>
      </c>
      <c r="W3" s="54">
        <f>COVAR($D$3:$D$263,$F$3:$F$263)</f>
        <v>2.9743368187654638E-4</v>
      </c>
      <c r="X3" s="50">
        <f>COVAR($F$3:$F$263,$F$3:$F$263)</f>
        <v>6.7608606141892898E-4</v>
      </c>
      <c r="Y3" s="50">
        <f>COVAR($H$3:$H$263,$F$3:$F$263)</f>
        <v>2.6545332780366802E-4</v>
      </c>
      <c r="Z3" s="50">
        <f>COVAR($J$3:$J$263,$F$3:$F$263)</f>
        <v>2.6778178621607952E-4</v>
      </c>
      <c r="AA3" s="50">
        <f>COVAR($L$3:$L$263,$F$3:$F$263)</f>
        <v>3.3381021833418193E-4</v>
      </c>
      <c r="AB3" s="50">
        <f>COVAR($N$3:$N$263,$F$3:$F$263)</f>
        <v>2.6109391658283784E-4</v>
      </c>
      <c r="AC3" s="51">
        <f>COVAR($P$3:$P$263,$F$3:$F$263)</f>
        <v>3.3578864034520666E-4</v>
      </c>
      <c r="AF3" s="48" t="s">
        <v>44</v>
      </c>
      <c r="AG3" s="65">
        <v>0.17293656791192813</v>
      </c>
      <c r="AH3" s="36">
        <v>-0.1196292454017811</v>
      </c>
      <c r="AJ3" s="68"/>
      <c r="AK3" s="48" t="s">
        <v>44</v>
      </c>
      <c r="AL3" s="79">
        <f t="shared" ref="AL3:BA8" si="1">$AG3 * AL$1 + $AH3 * (1 - AL$1)</f>
        <v>-0.11019163852069372</v>
      </c>
      <c r="AM3" s="69">
        <f t="shared" si="1"/>
        <v>-0.10075403163960632</v>
      </c>
      <c r="AN3" s="69">
        <f t="shared" si="1"/>
        <v>-9.1316424758518908E-2</v>
      </c>
      <c r="AO3" s="69">
        <f t="shared" si="1"/>
        <v>-8.1878817877431564E-2</v>
      </c>
      <c r="AP3" s="69">
        <f t="shared" si="1"/>
        <v>-7.244121099634418E-2</v>
      </c>
      <c r="AQ3" s="69">
        <f t="shared" si="1"/>
        <v>-6.3003604115256795E-2</v>
      </c>
      <c r="AR3" s="69">
        <f t="shared" si="1"/>
        <v>-5.356599723416941E-2</v>
      </c>
      <c r="AS3" s="69">
        <f t="shared" si="1"/>
        <v>-4.4128390353082025E-2</v>
      </c>
      <c r="AT3" s="69">
        <f t="shared" si="1"/>
        <v>-3.4690783471994634E-2</v>
      </c>
      <c r="AU3" s="69">
        <f t="shared" si="1"/>
        <v>-2.5253176590907249E-2</v>
      </c>
      <c r="AV3" s="69">
        <f t="shared" si="1"/>
        <v>-1.5815569709819857E-2</v>
      </c>
      <c r="AW3" s="69">
        <f t="shared" si="1"/>
        <v>-6.3779628287324724E-3</v>
      </c>
      <c r="AX3" s="69">
        <f t="shared" si="1"/>
        <v>3.0596440523548984E-3</v>
      </c>
      <c r="AY3" s="69">
        <f t="shared" si="1"/>
        <v>1.2497250933442283E-2</v>
      </c>
      <c r="AZ3" s="69">
        <f t="shared" si="1"/>
        <v>2.1934857814529682E-2</v>
      </c>
      <c r="BA3" s="69">
        <f t="shared" si="1"/>
        <v>3.1372464695617039E-2</v>
      </c>
      <c r="BB3" s="69">
        <f t="shared" si="0"/>
        <v>4.0810071576704722E-2</v>
      </c>
      <c r="BC3" s="69">
        <f t="shared" si="0"/>
        <v>5.0247678457792107E-2</v>
      </c>
      <c r="BD3" s="69">
        <f t="shared" si="0"/>
        <v>5.9685285338879492E-2</v>
      </c>
      <c r="BE3" s="69">
        <f t="shared" si="0"/>
        <v>6.9122892219966897E-2</v>
      </c>
      <c r="BF3" s="69">
        <f t="shared" si="0"/>
        <v>7.8560499101054268E-2</v>
      </c>
      <c r="BG3" s="69">
        <f t="shared" si="0"/>
        <v>8.7998105982141653E-2</v>
      </c>
      <c r="BH3" s="69">
        <f t="shared" si="0"/>
        <v>9.7435712863229038E-2</v>
      </c>
      <c r="BI3" s="69">
        <f t="shared" si="0"/>
        <v>0.10687331974431642</v>
      </c>
      <c r="BJ3" s="69">
        <f t="shared" si="0"/>
        <v>0.11631092662540381</v>
      </c>
      <c r="BK3" s="69">
        <f t="shared" si="0"/>
        <v>0.12574853350649118</v>
      </c>
      <c r="BL3" s="69">
        <f t="shared" si="0"/>
        <v>0.13518614038757859</v>
      </c>
      <c r="BM3" s="69">
        <f t="shared" si="0"/>
        <v>0.14462374726866598</v>
      </c>
      <c r="BN3" s="69">
        <f t="shared" si="0"/>
        <v>0.15406135414975336</v>
      </c>
      <c r="BO3" s="71">
        <f t="shared" si="0"/>
        <v>0.16349896103084074</v>
      </c>
    </row>
    <row r="4" spans="1:67" x14ac:dyDescent="0.45">
      <c r="A4" s="12" t="s">
        <v>64</v>
      </c>
      <c r="B4" s="39">
        <v>41652</v>
      </c>
      <c r="C4" s="41">
        <v>47.490001999999997</v>
      </c>
      <c r="D4" s="37">
        <f t="shared" ref="D4:D67" si="2">(C4-C3)/C3</f>
        <v>-0.20318785916737786</v>
      </c>
      <c r="E4" s="41">
        <v>73.980002999999996</v>
      </c>
      <c r="F4" s="37">
        <f t="shared" ref="F4:F67" si="3">(E4-E3)/E3</f>
        <v>-1.8702692912888973E-2</v>
      </c>
      <c r="G4" s="41">
        <v>60.240001999999997</v>
      </c>
      <c r="H4" s="37">
        <f t="shared" ref="H4:H67" si="4">(G4-G3)/G3</f>
        <v>-3.8006979208032296E-2</v>
      </c>
      <c r="I4" s="41">
        <v>21.35</v>
      </c>
      <c r="J4" s="37">
        <f t="shared" ref="J4:J67" si="5">(I4-I3)/I3</f>
        <v>8.5025980160604482E-3</v>
      </c>
      <c r="K4" s="41">
        <v>36.380001</v>
      </c>
      <c r="L4" s="37">
        <f t="shared" ref="L4:L67" si="6">(K4-K3)/K3</f>
        <v>9.4339620023873878E-3</v>
      </c>
      <c r="M4" s="41">
        <v>99.160004000000001</v>
      </c>
      <c r="N4" s="37">
        <f t="shared" ref="N4:N67" si="7">(M4-M3)/M3</f>
        <v>-1.352957660752818E-2</v>
      </c>
      <c r="O4" s="41">
        <v>58.044998</v>
      </c>
      <c r="P4" s="37">
        <f t="shared" ref="P4:P67" si="8">(O4-O3)/O3</f>
        <v>4.9970550355527436E-2</v>
      </c>
      <c r="R4" s="48" t="s">
        <v>45</v>
      </c>
      <c r="S4" s="89">
        <f>AVERAGE(H3:H263)</f>
        <v>7.625967109982061E-4</v>
      </c>
      <c r="T4" s="88"/>
      <c r="V4" s="48" t="s">
        <v>45</v>
      </c>
      <c r="W4" s="54">
        <f>COVAR($D$3:$D$263,$H$3:$H$263)</f>
        <v>4.340022936703792E-4</v>
      </c>
      <c r="X4" s="50">
        <f>COVAR($F$3:$F$263,$H$3:$H$263)</f>
        <v>2.6545332780366802E-4</v>
      </c>
      <c r="Y4" s="50">
        <f>COVAR($H$3:$H$263,$H$3:$H$263)</f>
        <v>1.2072582492631048E-3</v>
      </c>
      <c r="Z4" s="50">
        <f>COVAR($J$3:$J$263,$H$3:$H$263)</f>
        <v>2.3254232621738803E-4</v>
      </c>
      <c r="AA4" s="50">
        <f>COVAR($L$3:$L$263,$H$3:$H$263)</f>
        <v>2.8156456277636581E-4</v>
      </c>
      <c r="AB4" s="50">
        <f>COVAR($N$3:$N$263,$H$3:$H$263)</f>
        <v>2.3335280417368718E-4</v>
      </c>
      <c r="AC4" s="51">
        <f>COVAR($P$3:$P$263,$H$3:$H$263)</f>
        <v>2.4917264789947624E-4</v>
      </c>
      <c r="AF4" s="48" t="s">
        <v>45</v>
      </c>
      <c r="AG4" s="65">
        <v>0.10807025092748271</v>
      </c>
      <c r="AH4" s="36">
        <v>-0.17651297603383745</v>
      </c>
      <c r="AK4" s="48" t="s">
        <v>45</v>
      </c>
      <c r="AL4" s="79">
        <f t="shared" si="1"/>
        <v>-0.16733287193831101</v>
      </c>
      <c r="AM4" s="69">
        <f t="shared" si="0"/>
        <v>-0.15815276784278454</v>
      </c>
      <c r="AN4" s="69">
        <f t="shared" si="0"/>
        <v>-0.14897266374725807</v>
      </c>
      <c r="AO4" s="69">
        <f t="shared" si="0"/>
        <v>-0.13979255965173165</v>
      </c>
      <c r="AP4" s="69">
        <f t="shared" si="0"/>
        <v>-0.13061245555620521</v>
      </c>
      <c r="AQ4" s="69">
        <f t="shared" si="0"/>
        <v>-0.12143235146067875</v>
      </c>
      <c r="AR4" s="69">
        <f t="shared" si="0"/>
        <v>-0.11225224736515231</v>
      </c>
      <c r="AS4" s="69">
        <f t="shared" si="0"/>
        <v>-0.10307214326962588</v>
      </c>
      <c r="AT4" s="69">
        <f t="shared" si="0"/>
        <v>-9.3892039174099412E-2</v>
      </c>
      <c r="AU4" s="69">
        <f t="shared" si="0"/>
        <v>-8.471193507857297E-2</v>
      </c>
      <c r="AV4" s="69">
        <f t="shared" si="0"/>
        <v>-7.5531830983046513E-2</v>
      </c>
      <c r="AW4" s="69">
        <f t="shared" si="0"/>
        <v>-6.6351726887520085E-2</v>
      </c>
      <c r="AX4" s="69">
        <f t="shared" si="0"/>
        <v>-5.7171622791993622E-2</v>
      </c>
      <c r="AY4" s="69">
        <f t="shared" si="0"/>
        <v>-4.7991518696467179E-2</v>
      </c>
      <c r="AZ4" s="69">
        <f t="shared" si="0"/>
        <v>-3.881141460094073E-2</v>
      </c>
      <c r="BA4" s="69">
        <f t="shared" si="0"/>
        <v>-2.9631310505414309E-2</v>
      </c>
      <c r="BB4" s="69">
        <f t="shared" si="0"/>
        <v>-2.0451206409887568E-2</v>
      </c>
      <c r="BC4" s="69">
        <f t="shared" si="0"/>
        <v>-1.1271102314361126E-2</v>
      </c>
      <c r="BD4" s="69">
        <f t="shared" si="0"/>
        <v>-2.0909982188346693E-3</v>
      </c>
      <c r="BE4" s="69">
        <f t="shared" si="0"/>
        <v>7.0891058766917731E-3</v>
      </c>
      <c r="BF4" s="69">
        <f t="shared" si="0"/>
        <v>1.6269209972218229E-2</v>
      </c>
      <c r="BG4" s="69">
        <f t="shared" si="0"/>
        <v>2.5449314067744665E-2</v>
      </c>
      <c r="BH4" s="69">
        <f t="shared" si="0"/>
        <v>3.4629418163271114E-2</v>
      </c>
      <c r="BI4" s="69">
        <f t="shared" si="0"/>
        <v>4.380952225879757E-2</v>
      </c>
      <c r="BJ4" s="69">
        <f t="shared" si="0"/>
        <v>5.298962635432402E-2</v>
      </c>
      <c r="BK4" s="69">
        <f t="shared" si="0"/>
        <v>6.2169730449850469E-2</v>
      </c>
      <c r="BL4" s="69">
        <f t="shared" si="0"/>
        <v>7.1349834545376911E-2</v>
      </c>
      <c r="BM4" s="69">
        <f t="shared" si="0"/>
        <v>8.0529938640903354E-2</v>
      </c>
      <c r="BN4" s="69">
        <f t="shared" si="0"/>
        <v>8.971004273642981E-2</v>
      </c>
      <c r="BO4" s="71">
        <f t="shared" si="0"/>
        <v>9.8890146831956252E-2</v>
      </c>
    </row>
    <row r="5" spans="1:67" x14ac:dyDescent="0.45">
      <c r="B5" s="39">
        <v>41659</v>
      </c>
      <c r="C5" s="41">
        <v>47.619999</v>
      </c>
      <c r="D5" s="37">
        <f t="shared" si="2"/>
        <v>2.7373551173993011E-3</v>
      </c>
      <c r="E5" s="41">
        <v>72.720000999999996</v>
      </c>
      <c r="F5" s="37">
        <f t="shared" si="3"/>
        <v>-1.7031656513990683E-2</v>
      </c>
      <c r="G5" s="41">
        <v>57.720001000000003</v>
      </c>
      <c r="H5" s="37">
        <f t="shared" si="4"/>
        <v>-4.1832684534107316E-2</v>
      </c>
      <c r="I5" s="41">
        <v>21.16</v>
      </c>
      <c r="J5" s="37">
        <f t="shared" si="5"/>
        <v>-8.8992974238876477E-3</v>
      </c>
      <c r="K5" s="41">
        <v>36.810001</v>
      </c>
      <c r="L5" s="37">
        <f t="shared" si="6"/>
        <v>1.1819680818590405E-2</v>
      </c>
      <c r="M5" s="41">
        <v>94.849997999999999</v>
      </c>
      <c r="N5" s="37">
        <f t="shared" si="7"/>
        <v>-4.3465165652877558E-2</v>
      </c>
      <c r="O5" s="41">
        <v>55.3125</v>
      </c>
      <c r="P5" s="37">
        <f t="shared" si="8"/>
        <v>-4.707551200191272E-2</v>
      </c>
      <c r="R5" s="48" t="s">
        <v>46</v>
      </c>
      <c r="S5" s="89">
        <f>AVERAGE(J3:J263)</f>
        <v>5.9148215181944125E-3</v>
      </c>
      <c r="T5" s="88"/>
      <c r="V5" s="48" t="s">
        <v>46</v>
      </c>
      <c r="W5" s="54">
        <f>COVAR($D$3:$D$263,$J$3:$J$263)</f>
        <v>2.1302247614863332E-4</v>
      </c>
      <c r="X5" s="50">
        <f>COVAR($F$3:$F$263,$J$3:$J$263)</f>
        <v>2.6778178621607952E-4</v>
      </c>
      <c r="Y5" s="50">
        <f>COVAR($H$3:$H$263,$J$3:$J$263)</f>
        <v>2.3254232621738803E-4</v>
      </c>
      <c r="Z5" s="50">
        <f>COVAR($J$3:$J$263,$J$3:$J$263)</f>
        <v>2.1778802281688082E-3</v>
      </c>
      <c r="AA5" s="50">
        <f>COVAR($L$3:$L$263,$J$3:$J$263)</f>
        <v>3.229758451326863E-4</v>
      </c>
      <c r="AB5" s="50">
        <f>COVAR($N$3:$N$263,$J$3:$J$263)</f>
        <v>6.5223124399750479E-5</v>
      </c>
      <c r="AC5" s="51">
        <f>COVAR($P$3:$P$263,$J$3:$J$263)</f>
        <v>2.1848588162251008E-4</v>
      </c>
      <c r="AD5" s="7"/>
      <c r="AF5" s="48" t="s">
        <v>46</v>
      </c>
      <c r="AG5" s="65">
        <v>8.7622727681955032E-2</v>
      </c>
      <c r="AH5" s="36">
        <v>0.38227075595321297</v>
      </c>
      <c r="AI5" s="7"/>
      <c r="AJ5" s="7"/>
      <c r="AK5" s="48" t="s">
        <v>46</v>
      </c>
      <c r="AL5" s="79">
        <f t="shared" si="1"/>
        <v>0.37276598084768853</v>
      </c>
      <c r="AM5" s="69">
        <f t="shared" si="0"/>
        <v>0.36326120574216408</v>
      </c>
      <c r="AN5" s="69">
        <f t="shared" si="0"/>
        <v>0.35375643063663964</v>
      </c>
      <c r="AO5" s="69">
        <f t="shared" si="0"/>
        <v>0.3442516555311152</v>
      </c>
      <c r="AP5" s="69">
        <f t="shared" si="0"/>
        <v>0.33474688042559075</v>
      </c>
      <c r="AQ5" s="69">
        <f t="shared" si="0"/>
        <v>0.32524210532006637</v>
      </c>
      <c r="AR5" s="69">
        <f t="shared" si="0"/>
        <v>0.31573733021454187</v>
      </c>
      <c r="AS5" s="69">
        <f t="shared" si="0"/>
        <v>0.30623255510901742</v>
      </c>
      <c r="AT5" s="69">
        <f t="shared" si="0"/>
        <v>0.29672778000349298</v>
      </c>
      <c r="AU5" s="69">
        <f t="shared" si="0"/>
        <v>0.28722300489796854</v>
      </c>
      <c r="AV5" s="69">
        <f t="shared" si="0"/>
        <v>0.27771822979244409</v>
      </c>
      <c r="AW5" s="69">
        <f t="shared" si="0"/>
        <v>0.26821345468691965</v>
      </c>
      <c r="AX5" s="69">
        <f t="shared" si="0"/>
        <v>0.25870867958139521</v>
      </c>
      <c r="AY5" s="69">
        <f t="shared" si="0"/>
        <v>0.24920390447587079</v>
      </c>
      <c r="AZ5" s="69">
        <f t="shared" si="0"/>
        <v>0.23969912937034635</v>
      </c>
      <c r="BA5" s="69">
        <f t="shared" si="0"/>
        <v>0.23019435426482193</v>
      </c>
      <c r="BB5" s="69">
        <f t="shared" si="0"/>
        <v>0.22068957915929721</v>
      </c>
      <c r="BC5" s="69">
        <f t="shared" si="0"/>
        <v>0.21118480405377277</v>
      </c>
      <c r="BD5" s="69">
        <f t="shared" si="0"/>
        <v>0.20168002894824832</v>
      </c>
      <c r="BE5" s="69">
        <f t="shared" si="0"/>
        <v>0.19217525384272388</v>
      </c>
      <c r="BF5" s="69">
        <f t="shared" si="0"/>
        <v>0.18267047873719944</v>
      </c>
      <c r="BG5" s="69">
        <f t="shared" si="0"/>
        <v>0.17316570363167499</v>
      </c>
      <c r="BH5" s="69">
        <f t="shared" si="0"/>
        <v>0.16366092852615055</v>
      </c>
      <c r="BI5" s="69">
        <f t="shared" si="0"/>
        <v>0.15415615342062611</v>
      </c>
      <c r="BJ5" s="69">
        <f t="shared" si="0"/>
        <v>0.14465137831510166</v>
      </c>
      <c r="BK5" s="69">
        <f t="shared" si="0"/>
        <v>0.13514660320957725</v>
      </c>
      <c r="BL5" s="69">
        <f t="shared" si="0"/>
        <v>0.12564182810405278</v>
      </c>
      <c r="BM5" s="69">
        <f t="shared" si="0"/>
        <v>0.11613705299852836</v>
      </c>
      <c r="BN5" s="69">
        <f t="shared" si="0"/>
        <v>0.10663227789300392</v>
      </c>
      <c r="BO5" s="71">
        <f t="shared" si="0"/>
        <v>9.7127502787479475E-2</v>
      </c>
    </row>
    <row r="6" spans="1:67" x14ac:dyDescent="0.45">
      <c r="B6" s="39">
        <v>41666</v>
      </c>
      <c r="C6" s="41">
        <v>45.689999</v>
      </c>
      <c r="D6" s="37">
        <f t="shared" si="2"/>
        <v>-4.0529190267307641E-2</v>
      </c>
      <c r="E6" s="41">
        <v>72.610000999999997</v>
      </c>
      <c r="F6" s="37">
        <f t="shared" si="3"/>
        <v>-1.5126512443254703E-3</v>
      </c>
      <c r="G6" s="41">
        <v>56.639999000000003</v>
      </c>
      <c r="H6" s="37">
        <f t="shared" si="4"/>
        <v>-1.871105303688405E-2</v>
      </c>
      <c r="I6" s="41">
        <v>20.73</v>
      </c>
      <c r="J6" s="37">
        <f t="shared" si="5"/>
        <v>-2.032136105860112E-2</v>
      </c>
      <c r="K6" s="41">
        <v>37.840000000000003</v>
      </c>
      <c r="L6" s="37">
        <f t="shared" si="6"/>
        <v>2.7981498832341887E-2</v>
      </c>
      <c r="M6" s="41">
        <v>92.160004000000001</v>
      </c>
      <c r="N6" s="37">
        <f t="shared" si="7"/>
        <v>-2.8360506660210987E-2</v>
      </c>
      <c r="O6" s="41">
        <v>53.857498</v>
      </c>
      <c r="P6" s="37">
        <f t="shared" si="8"/>
        <v>-2.6305120903954808E-2</v>
      </c>
      <c r="R6" s="48" t="s">
        <v>47</v>
      </c>
      <c r="S6" s="89">
        <f>AVERAGE(L3:L263)</f>
        <v>4.3146911851620114E-3</v>
      </c>
      <c r="T6" s="88"/>
      <c r="V6" s="48" t="s">
        <v>47</v>
      </c>
      <c r="W6" s="54">
        <f>COVAR($D$3:$D$263,$L$3:$L$263)</f>
        <v>2.9828906597576145E-4</v>
      </c>
      <c r="X6" s="50">
        <f>COVAR($F$3:$F$263,$L$3:$L$263)</f>
        <v>3.3381021833418193E-4</v>
      </c>
      <c r="Y6" s="50">
        <f>COVAR($H$3:$H$263,$L$3:$L$263)</f>
        <v>2.8156456277636581E-4</v>
      </c>
      <c r="Z6" s="50">
        <f>COVAR($J$3:$J$263,$L$3:$L$263)</f>
        <v>3.229758451326863E-4</v>
      </c>
      <c r="AA6" s="50">
        <f>COVAR($L$3:$L$263,$L$3:$L$263)</f>
        <v>8.5590803712825821E-4</v>
      </c>
      <c r="AB6" s="50">
        <f>COVAR($N$3:$N$263,$L$3:$L$263)</f>
        <v>2.9032200707147272E-4</v>
      </c>
      <c r="AC6" s="51">
        <f>COVAR($P$3:$P$263,$L$3:$L$263)</f>
        <v>4.1366764062728418E-4</v>
      </c>
      <c r="AF6" s="48" t="s">
        <v>47</v>
      </c>
      <c r="AG6" s="65">
        <v>4.7908328059027096E-2</v>
      </c>
      <c r="AH6" s="36">
        <v>0.81655616809766929</v>
      </c>
      <c r="AK6" s="48" t="s">
        <v>47</v>
      </c>
      <c r="AL6" s="79">
        <f t="shared" si="1"/>
        <v>0.79176107648351957</v>
      </c>
      <c r="AM6" s="69">
        <f t="shared" si="0"/>
        <v>0.76696598486936984</v>
      </c>
      <c r="AN6" s="69">
        <f t="shared" si="0"/>
        <v>0.74217089325522001</v>
      </c>
      <c r="AO6" s="69">
        <f t="shared" si="0"/>
        <v>0.7173758016410704</v>
      </c>
      <c r="AP6" s="69">
        <f t="shared" si="0"/>
        <v>0.69258071002692068</v>
      </c>
      <c r="AQ6" s="69">
        <f t="shared" si="0"/>
        <v>0.66778561841277095</v>
      </c>
      <c r="AR6" s="69">
        <f t="shared" si="0"/>
        <v>0.64299052679862112</v>
      </c>
      <c r="AS6" s="69">
        <f t="shared" si="0"/>
        <v>0.61819543518447151</v>
      </c>
      <c r="AT6" s="69">
        <f t="shared" si="0"/>
        <v>0.59340034357032179</v>
      </c>
      <c r="AU6" s="69">
        <f t="shared" si="0"/>
        <v>0.56860525195617195</v>
      </c>
      <c r="AV6" s="69">
        <f t="shared" si="0"/>
        <v>0.54381016034202234</v>
      </c>
      <c r="AW6" s="69">
        <f t="shared" si="0"/>
        <v>0.51901506872787262</v>
      </c>
      <c r="AX6" s="69">
        <f t="shared" si="0"/>
        <v>0.49421997711372284</v>
      </c>
      <c r="AY6" s="69">
        <f t="shared" si="0"/>
        <v>0.46942488549957312</v>
      </c>
      <c r="AZ6" s="69">
        <f t="shared" si="0"/>
        <v>0.4446297938854234</v>
      </c>
      <c r="BA6" s="69">
        <f t="shared" si="0"/>
        <v>0.41983470227127379</v>
      </c>
      <c r="BB6" s="69">
        <f t="shared" si="0"/>
        <v>0.39503961065712323</v>
      </c>
      <c r="BC6" s="69">
        <f t="shared" si="0"/>
        <v>0.37024451904297356</v>
      </c>
      <c r="BD6" s="69">
        <f t="shared" si="0"/>
        <v>0.34544942742882384</v>
      </c>
      <c r="BE6" s="69">
        <f t="shared" si="0"/>
        <v>0.32065433581467406</v>
      </c>
      <c r="BF6" s="69">
        <f t="shared" si="0"/>
        <v>0.29585924420052434</v>
      </c>
      <c r="BG6" s="69">
        <f t="shared" si="0"/>
        <v>0.27106415258637462</v>
      </c>
      <c r="BH6" s="69">
        <f t="shared" si="0"/>
        <v>0.2462690609722249</v>
      </c>
      <c r="BI6" s="69">
        <f t="shared" si="0"/>
        <v>0.22147396935807517</v>
      </c>
      <c r="BJ6" s="69">
        <f t="shared" si="0"/>
        <v>0.19667887774392545</v>
      </c>
      <c r="BK6" s="69">
        <f t="shared" si="0"/>
        <v>0.17188378612977573</v>
      </c>
      <c r="BL6" s="69">
        <f t="shared" si="0"/>
        <v>0.14708869451562601</v>
      </c>
      <c r="BM6" s="69">
        <f t="shared" si="0"/>
        <v>0.12229360290147628</v>
      </c>
      <c r="BN6" s="69">
        <f t="shared" si="0"/>
        <v>9.7498511287326547E-2</v>
      </c>
      <c r="BO6" s="71">
        <f t="shared" si="0"/>
        <v>7.2703419673176825E-2</v>
      </c>
    </row>
    <row r="7" spans="1:67" x14ac:dyDescent="0.45">
      <c r="B7" s="39">
        <v>41673</v>
      </c>
      <c r="C7" s="41">
        <v>47.380001</v>
      </c>
      <c r="D7" s="37">
        <f t="shared" si="2"/>
        <v>3.6988444670353345E-2</v>
      </c>
      <c r="E7" s="41">
        <v>75.669998000000007</v>
      </c>
      <c r="F7" s="37">
        <f t="shared" si="3"/>
        <v>4.2142913618745302E-2</v>
      </c>
      <c r="G7" s="41">
        <v>56.330002</v>
      </c>
      <c r="H7" s="37">
        <f t="shared" si="4"/>
        <v>-5.4731109723360465E-3</v>
      </c>
      <c r="I7" s="41">
        <v>19.399999999999999</v>
      </c>
      <c r="J7" s="37">
        <f t="shared" si="5"/>
        <v>-6.4158224794983204E-2</v>
      </c>
      <c r="K7" s="41">
        <v>36.560001</v>
      </c>
      <c r="L7" s="37">
        <f t="shared" si="6"/>
        <v>-3.382661205074005E-2</v>
      </c>
      <c r="M7" s="41">
        <v>90.580001999999993</v>
      </c>
      <c r="N7" s="37">
        <f t="shared" si="7"/>
        <v>-1.7144118179508842E-2</v>
      </c>
      <c r="O7" s="41">
        <v>55.445</v>
      </c>
      <c r="P7" s="37">
        <f t="shared" si="8"/>
        <v>2.9475970086839175E-2</v>
      </c>
      <c r="R7" s="48" t="s">
        <v>48</v>
      </c>
      <c r="S7" s="89">
        <f>AVERAGE(N3:N263)</f>
        <v>-1.129946569209832E-3</v>
      </c>
      <c r="T7" s="88"/>
      <c r="V7" s="48" t="s">
        <v>48</v>
      </c>
      <c r="W7" s="54">
        <f>COVAR($D$3:$D$263,$N$3:$N$263)</f>
        <v>2.3233492872970669E-4</v>
      </c>
      <c r="X7" s="50">
        <f>COVAR($F$3:$F$263,$N$3:$N$263)</f>
        <v>2.6109391658283784E-4</v>
      </c>
      <c r="Y7" s="50">
        <f>COVAR($H$3:$H$263,$N$3:$N$263)</f>
        <v>2.3335280417368718E-4</v>
      </c>
      <c r="Z7" s="50">
        <f>COVAR($J$3:$J$263,$N$3:$N$263)</f>
        <v>6.5223124399750479E-5</v>
      </c>
      <c r="AA7" s="50">
        <f>COVAR($L$3:$L$263,$N$3:$N$263)</f>
        <v>2.9032200707147272E-4</v>
      </c>
      <c r="AB7" s="50">
        <f>COVAR($N$3:$N$263,$N$3:$N$263)</f>
        <v>6.2650791659537241E-4</v>
      </c>
      <c r="AC7" s="51">
        <f>COVAR($P$3:$P$263,$N$3:$N$263)</f>
        <v>2.4928323375847502E-4</v>
      </c>
      <c r="AF7" s="48" t="s">
        <v>48</v>
      </c>
      <c r="AG7" s="65">
        <v>0.32067592411764573</v>
      </c>
      <c r="AH7" s="36">
        <v>-1.1765468971221951</v>
      </c>
      <c r="AK7" s="48" t="s">
        <v>48</v>
      </c>
      <c r="AL7" s="79">
        <f t="shared" si="1"/>
        <v>-1.1282493867596195</v>
      </c>
      <c r="AM7" s="69">
        <f t="shared" si="0"/>
        <v>-1.0799518763970442</v>
      </c>
      <c r="AN7" s="69">
        <f t="shared" si="0"/>
        <v>-1.0316543660344686</v>
      </c>
      <c r="AO7" s="69">
        <f t="shared" si="0"/>
        <v>-0.98335685567189335</v>
      </c>
      <c r="AP7" s="69">
        <f t="shared" si="0"/>
        <v>-0.93505934530931778</v>
      </c>
      <c r="AQ7" s="69">
        <f t="shared" si="0"/>
        <v>-0.88676183494674232</v>
      </c>
      <c r="AR7" s="69">
        <f t="shared" si="0"/>
        <v>-0.83846432458416675</v>
      </c>
      <c r="AS7" s="69">
        <f t="shared" si="0"/>
        <v>-0.7901668142215913</v>
      </c>
      <c r="AT7" s="69">
        <f t="shared" si="0"/>
        <v>-0.74186930385901595</v>
      </c>
      <c r="AU7" s="69">
        <f t="shared" si="0"/>
        <v>-0.69357179349644038</v>
      </c>
      <c r="AV7" s="69">
        <f t="shared" si="0"/>
        <v>-0.64527428313386492</v>
      </c>
      <c r="AW7" s="69">
        <f t="shared" si="0"/>
        <v>-0.59697677277128958</v>
      </c>
      <c r="AX7" s="69">
        <f t="shared" si="0"/>
        <v>-0.54867926240871401</v>
      </c>
      <c r="AY7" s="69">
        <f t="shared" si="0"/>
        <v>-0.50038175204613855</v>
      </c>
      <c r="AZ7" s="69">
        <f t="shared" si="0"/>
        <v>-0.45208424168356315</v>
      </c>
      <c r="BA7" s="69">
        <f t="shared" si="0"/>
        <v>-0.40378673132098775</v>
      </c>
      <c r="BB7" s="69">
        <f t="shared" si="0"/>
        <v>-0.35548922095841085</v>
      </c>
      <c r="BC7" s="69">
        <f t="shared" si="0"/>
        <v>-0.30719171059583533</v>
      </c>
      <c r="BD7" s="69">
        <f t="shared" si="0"/>
        <v>-0.25889420023325987</v>
      </c>
      <c r="BE7" s="69">
        <f t="shared" si="0"/>
        <v>-0.21059668987068439</v>
      </c>
      <c r="BF7" s="69">
        <f t="shared" si="0"/>
        <v>-0.16229917950810893</v>
      </c>
      <c r="BG7" s="69">
        <f t="shared" si="0"/>
        <v>-0.1140016691455335</v>
      </c>
      <c r="BH7" s="69">
        <f t="shared" si="0"/>
        <v>-6.5704158782957989E-2</v>
      </c>
      <c r="BI7" s="69">
        <f t="shared" si="0"/>
        <v>-1.7406648420382559E-2</v>
      </c>
      <c r="BJ7" s="69">
        <f t="shared" si="0"/>
        <v>3.0890861942192899E-2</v>
      </c>
      <c r="BK7" s="69">
        <f t="shared" si="0"/>
        <v>7.9188372304768384E-2</v>
      </c>
      <c r="BL7" s="69">
        <f t="shared" si="0"/>
        <v>0.12748588266734387</v>
      </c>
      <c r="BM7" s="69">
        <f t="shared" si="0"/>
        <v>0.17578339302991935</v>
      </c>
      <c r="BN7" s="69">
        <f t="shared" si="0"/>
        <v>0.22408090339249476</v>
      </c>
      <c r="BO7" s="71">
        <f t="shared" si="0"/>
        <v>0.27237841375507027</v>
      </c>
    </row>
    <row r="8" spans="1:67" ht="14.65" thickBot="1" x14ac:dyDescent="0.5">
      <c r="B8" s="39">
        <v>41680</v>
      </c>
      <c r="C8" s="41">
        <v>51.049999</v>
      </c>
      <c r="D8" s="37">
        <f t="shared" si="2"/>
        <v>7.7458799547091603E-2</v>
      </c>
      <c r="E8" s="41">
        <v>79.230002999999996</v>
      </c>
      <c r="F8" s="37">
        <f t="shared" si="3"/>
        <v>4.7046452941626737E-2</v>
      </c>
      <c r="G8" s="41">
        <v>56.060001</v>
      </c>
      <c r="H8" s="37">
        <f t="shared" si="4"/>
        <v>-4.7932006109284459E-3</v>
      </c>
      <c r="I8" s="41">
        <v>21.950001</v>
      </c>
      <c r="J8" s="37">
        <f t="shared" si="5"/>
        <v>0.13144335051546402</v>
      </c>
      <c r="K8" s="41">
        <v>37.619999</v>
      </c>
      <c r="L8" s="37">
        <f t="shared" si="6"/>
        <v>2.8993379950946942E-2</v>
      </c>
      <c r="M8" s="41">
        <v>94.110000999999997</v>
      </c>
      <c r="N8" s="37">
        <f t="shared" si="7"/>
        <v>3.8971063392116111E-2</v>
      </c>
      <c r="O8" s="41">
        <v>56.5</v>
      </c>
      <c r="P8" s="37">
        <f t="shared" si="8"/>
        <v>1.9027865452249972E-2</v>
      </c>
      <c r="R8" s="49" t="s">
        <v>49</v>
      </c>
      <c r="S8" s="90">
        <f>AVERAGE(P3:P263)</f>
        <v>3.6439863302001369E-3</v>
      </c>
      <c r="T8" s="88"/>
      <c r="V8" s="49" t="s">
        <v>49</v>
      </c>
      <c r="W8" s="55">
        <f>COVAR($D$3:$D$263,$P$3:$P$263)</f>
        <v>2.8146007525510725E-4</v>
      </c>
      <c r="X8" s="52">
        <f>COVAR($F$3:$F$263,$P$3:$P$263)</f>
        <v>3.3578864034520666E-4</v>
      </c>
      <c r="Y8" s="52">
        <f>COVAR($H$3:$H$263,$P$3:$P$263)</f>
        <v>2.4917264789947624E-4</v>
      </c>
      <c r="Z8" s="52">
        <f>COVAR($J$3:$J$263,$P$3:$P$263)</f>
        <v>2.1848588162251008E-4</v>
      </c>
      <c r="AA8" s="52">
        <f>COVAR($L$3:$L$263,$P$3:$P$263)</f>
        <v>4.1366764062728418E-4</v>
      </c>
      <c r="AB8" s="52">
        <f>COVAR($N$3:$N$263,$P$3:$P$263)</f>
        <v>2.4928323375847502E-4</v>
      </c>
      <c r="AC8" s="53">
        <f>COVAR($P$3:$P$263,$P$3:$P$263)</f>
        <v>6.1537892246391339E-4</v>
      </c>
      <c r="AF8" s="48" t="s">
        <v>49</v>
      </c>
      <c r="AG8" s="66">
        <v>0.23374972023798632</v>
      </c>
      <c r="AH8" s="36">
        <v>1.0523746258455549</v>
      </c>
      <c r="AK8" s="48" t="s">
        <v>49</v>
      </c>
      <c r="AL8" s="80">
        <f t="shared" si="1"/>
        <v>1.025967370825956</v>
      </c>
      <c r="AM8" s="70">
        <f t="shared" si="0"/>
        <v>0.99956011580635684</v>
      </c>
      <c r="AN8" s="70">
        <f t="shared" si="0"/>
        <v>0.97315286078675789</v>
      </c>
      <c r="AO8" s="70">
        <f t="shared" si="0"/>
        <v>0.94674560576715905</v>
      </c>
      <c r="AP8" s="70">
        <f t="shared" si="0"/>
        <v>0.92033835074755999</v>
      </c>
      <c r="AQ8" s="70">
        <f t="shared" si="0"/>
        <v>0.89393109572796103</v>
      </c>
      <c r="AR8" s="70">
        <f t="shared" si="0"/>
        <v>0.86752384070836219</v>
      </c>
      <c r="AS8" s="70">
        <f t="shared" si="0"/>
        <v>0.84111658568876313</v>
      </c>
      <c r="AT8" s="70">
        <f t="shared" si="0"/>
        <v>0.81470933066916418</v>
      </c>
      <c r="AU8" s="70">
        <f t="shared" si="0"/>
        <v>0.78830207564956523</v>
      </c>
      <c r="AV8" s="70">
        <f t="shared" si="0"/>
        <v>0.76189482062996627</v>
      </c>
      <c r="AW8" s="70">
        <f t="shared" si="0"/>
        <v>0.73548756561036732</v>
      </c>
      <c r="AX8" s="70">
        <f t="shared" si="0"/>
        <v>0.70908031059076837</v>
      </c>
      <c r="AY8" s="70">
        <f t="shared" si="0"/>
        <v>0.68267305557116931</v>
      </c>
      <c r="AZ8" s="70">
        <f t="shared" si="0"/>
        <v>0.65626580055157047</v>
      </c>
      <c r="BA8" s="70">
        <f t="shared" si="0"/>
        <v>0.62985854553197163</v>
      </c>
      <c r="BB8" s="70">
        <f t="shared" si="0"/>
        <v>0.60345129051237179</v>
      </c>
      <c r="BC8" s="70">
        <f t="shared" si="0"/>
        <v>0.57704403549277283</v>
      </c>
      <c r="BD8" s="70">
        <f t="shared" si="0"/>
        <v>0.55063678047317388</v>
      </c>
      <c r="BE8" s="70">
        <f t="shared" si="0"/>
        <v>0.52422952545357493</v>
      </c>
      <c r="BF8" s="70">
        <f t="shared" si="0"/>
        <v>0.49782227043397592</v>
      </c>
      <c r="BG8" s="70">
        <f t="shared" si="0"/>
        <v>0.47141501541437703</v>
      </c>
      <c r="BH8" s="70">
        <f t="shared" si="0"/>
        <v>0.44500776039477796</v>
      </c>
      <c r="BI8" s="70">
        <f t="shared" si="0"/>
        <v>0.41860050537517901</v>
      </c>
      <c r="BJ8" s="70">
        <f t="shared" si="0"/>
        <v>0.39219325035558006</v>
      </c>
      <c r="BK8" s="70">
        <f t="shared" si="0"/>
        <v>0.36578599533598111</v>
      </c>
      <c r="BL8" s="70">
        <f t="shared" si="0"/>
        <v>0.33937874031638215</v>
      </c>
      <c r="BM8" s="70">
        <f t="shared" si="0"/>
        <v>0.3129714852967832</v>
      </c>
      <c r="BN8" s="70">
        <f t="shared" si="0"/>
        <v>0.28656423027718425</v>
      </c>
      <c r="BO8" s="72">
        <f t="shared" si="0"/>
        <v>0.2601569752575853</v>
      </c>
    </row>
    <row r="9" spans="1:67" ht="14.65" thickBot="1" x14ac:dyDescent="0.5">
      <c r="B9" s="39">
        <v>41687</v>
      </c>
      <c r="C9" s="41">
        <v>51.389999000000003</v>
      </c>
      <c r="D9" s="37">
        <f t="shared" si="2"/>
        <v>6.660137250933216E-3</v>
      </c>
      <c r="E9" s="41">
        <v>80.129997000000003</v>
      </c>
      <c r="F9" s="37">
        <f t="shared" si="3"/>
        <v>1.13592574267605E-2</v>
      </c>
      <c r="G9" s="41">
        <v>56.240001999999997</v>
      </c>
      <c r="H9" s="37">
        <f t="shared" si="4"/>
        <v>3.2108633034094521E-3</v>
      </c>
      <c r="I9" s="41">
        <v>20.860001</v>
      </c>
      <c r="J9" s="37">
        <f t="shared" si="5"/>
        <v>-4.9658312088459576E-2</v>
      </c>
      <c r="K9" s="41">
        <v>37.979999999999997</v>
      </c>
      <c r="L9" s="37">
        <f t="shared" si="6"/>
        <v>9.5694048264062127E-3</v>
      </c>
      <c r="M9" s="41">
        <v>95.029999000000004</v>
      </c>
      <c r="N9" s="37">
        <f t="shared" si="7"/>
        <v>9.7757729276828596E-3</v>
      </c>
      <c r="O9" s="41">
        <v>55.84</v>
      </c>
      <c r="P9" s="37">
        <f t="shared" si="8"/>
        <v>-1.1681415929203479E-2</v>
      </c>
      <c r="AF9" s="62" t="s">
        <v>68</v>
      </c>
      <c r="AG9" s="67">
        <f>GetPortfolioRoR(AG2:AG8,S2:S8)</f>
        <v>1.7205428912022216E-3</v>
      </c>
      <c r="AH9" s="63">
        <f>GetPortfolioRoR(AH2:AH8,S2:S8)</f>
        <v>1.1547174947225371E-2</v>
      </c>
      <c r="AK9" s="44" t="s">
        <v>68</v>
      </c>
      <c r="AL9" s="83">
        <f>GetPortfolioRoR(AL2:AL8,$S$2:$S$8)</f>
        <v>1.1230186816385917E-2</v>
      </c>
      <c r="AM9" s="84">
        <f t="shared" ref="AM9:BO9" si="9">GetPortfolioRoR(AM2:AM8,$S$2:$S$8)</f>
        <v>1.0913198685546459E-2</v>
      </c>
      <c r="AN9" s="84">
        <f t="shared" si="9"/>
        <v>1.0596210554707003E-2</v>
      </c>
      <c r="AO9" s="84">
        <f t="shared" si="9"/>
        <v>1.0279222423867548E-2</v>
      </c>
      <c r="AP9" s="84">
        <f t="shared" si="9"/>
        <v>9.9622342930280917E-3</v>
      </c>
      <c r="AQ9" s="84">
        <f t="shared" si="9"/>
        <v>9.6452461621886355E-3</v>
      </c>
      <c r="AR9" s="84">
        <f t="shared" si="9"/>
        <v>9.3282580313491792E-3</v>
      </c>
      <c r="AS9" s="84">
        <f t="shared" si="9"/>
        <v>9.0112699005097212E-3</v>
      </c>
      <c r="AT9" s="84">
        <f t="shared" si="9"/>
        <v>8.6942817696702666E-3</v>
      </c>
      <c r="AU9" s="84">
        <f t="shared" si="9"/>
        <v>8.3772936388308086E-3</v>
      </c>
      <c r="AV9" s="84">
        <f t="shared" si="9"/>
        <v>8.0603055079913541E-3</v>
      </c>
      <c r="AW9" s="84">
        <f t="shared" si="9"/>
        <v>7.7433173771518978E-3</v>
      </c>
      <c r="AX9" s="84">
        <f t="shared" si="9"/>
        <v>7.4263292463124415E-3</v>
      </c>
      <c r="AY9" s="84">
        <f t="shared" si="9"/>
        <v>7.1093411154729844E-3</v>
      </c>
      <c r="AZ9" s="84">
        <f t="shared" si="9"/>
        <v>6.792352984633529E-3</v>
      </c>
      <c r="BA9" s="84">
        <f t="shared" si="9"/>
        <v>6.4753648537940744E-3</v>
      </c>
      <c r="BB9" s="84">
        <f t="shared" si="9"/>
        <v>6.1583767229546078E-3</v>
      </c>
      <c r="BC9" s="84">
        <f t="shared" si="9"/>
        <v>5.8413885921151524E-3</v>
      </c>
      <c r="BD9" s="84">
        <f t="shared" si="9"/>
        <v>5.5244004612756961E-3</v>
      </c>
      <c r="BE9" s="84">
        <f t="shared" si="9"/>
        <v>5.2074123304362398E-3</v>
      </c>
      <c r="BF9" s="84">
        <f t="shared" si="9"/>
        <v>4.8904241995967827E-3</v>
      </c>
      <c r="BG9" s="84">
        <f t="shared" si="9"/>
        <v>4.5734360687573273E-3</v>
      </c>
      <c r="BH9" s="84">
        <f t="shared" si="9"/>
        <v>4.2564479379178701E-3</v>
      </c>
      <c r="BI9" s="84">
        <f t="shared" si="9"/>
        <v>3.9394598070784147E-3</v>
      </c>
      <c r="BJ9" s="84">
        <f t="shared" si="9"/>
        <v>3.6224716762389584E-3</v>
      </c>
      <c r="BK9" s="84">
        <f t="shared" si="9"/>
        <v>3.3054835453995022E-3</v>
      </c>
      <c r="BL9" s="84">
        <f t="shared" si="9"/>
        <v>2.9884954145600463E-3</v>
      </c>
      <c r="BM9" s="84">
        <f t="shared" si="9"/>
        <v>2.6715072837205905E-3</v>
      </c>
      <c r="BN9" s="84">
        <f t="shared" si="9"/>
        <v>2.3545191528811342E-3</v>
      </c>
      <c r="BO9" s="85">
        <f t="shared" si="9"/>
        <v>2.0375310220416779E-3</v>
      </c>
    </row>
    <row r="10" spans="1:67" ht="14.65" thickBot="1" x14ac:dyDescent="0.5">
      <c r="B10" s="39">
        <v>41694</v>
      </c>
      <c r="C10" s="41">
        <v>50.310001</v>
      </c>
      <c r="D10" s="37">
        <f t="shared" si="2"/>
        <v>-2.1015723312234415E-2</v>
      </c>
      <c r="E10" s="41">
        <v>80.809997999999993</v>
      </c>
      <c r="F10" s="37">
        <f t="shared" si="3"/>
        <v>8.4862227063354327E-3</v>
      </c>
      <c r="G10" s="41">
        <v>62.540000999999997</v>
      </c>
      <c r="H10" s="37">
        <f t="shared" si="4"/>
        <v>0.11201989288691704</v>
      </c>
      <c r="I10" s="41">
        <v>21.040001</v>
      </c>
      <c r="J10" s="37">
        <f t="shared" si="5"/>
        <v>8.6289545240194245E-3</v>
      </c>
      <c r="K10" s="41">
        <v>38.310001</v>
      </c>
      <c r="L10" s="37">
        <f t="shared" si="6"/>
        <v>8.6888098999474174E-3</v>
      </c>
      <c r="M10" s="41">
        <v>96.269997000000004</v>
      </c>
      <c r="N10" s="37">
        <f t="shared" si="7"/>
        <v>1.3048490087851099E-2</v>
      </c>
      <c r="O10" s="41">
        <v>56.485000999999997</v>
      </c>
      <c r="P10" s="37">
        <f t="shared" si="8"/>
        <v>1.1550877507163207E-2</v>
      </c>
      <c r="AK10" s="82" t="s">
        <v>72</v>
      </c>
      <c r="AL10" s="86">
        <f>GetPortfolioSigma($W$2:$AC$8,AL$2:AL$8)</f>
        <v>4.7535831243886613E-2</v>
      </c>
      <c r="AM10" s="86">
        <f t="shared" ref="AM10:BO10" si="10">GetPortfolioSigma($W$2:$AC$8,AM$2:AM$8)</f>
        <v>4.62044872491289E-2</v>
      </c>
      <c r="AN10" s="86">
        <f t="shared" si="10"/>
        <v>4.488078164446601E-2</v>
      </c>
      <c r="AO10" s="86">
        <f t="shared" si="10"/>
        <v>4.356541069744703E-2</v>
      </c>
      <c r="AP10" s="86">
        <f t="shared" si="10"/>
        <v>4.2259152696331938E-2</v>
      </c>
      <c r="AQ10" s="86">
        <f t="shared" si="10"/>
        <v>4.0962879453747388E-2</v>
      </c>
      <c r="AR10" s="86">
        <f t="shared" si="10"/>
        <v>3.9677569593263302E-2</v>
      </c>
      <c r="AS10" s="86">
        <f t="shared" si="10"/>
        <v>3.8404323892889183E-2</v>
      </c>
      <c r="AT10" s="86">
        <f t="shared" si="10"/>
        <v>3.7144382989454786E-2</v>
      </c>
      <c r="AU10" s="86">
        <f t="shared" si="10"/>
        <v>3.5899147772897481E-2</v>
      </c>
      <c r="AV10" s="86">
        <f t="shared" si="10"/>
        <v>3.4670202813497288E-2</v>
      </c>
      <c r="AW10" s="86">
        <f t="shared" si="10"/>
        <v>3.3459343158427565E-2</v>
      </c>
      <c r="AX10" s="86">
        <f t="shared" si="10"/>
        <v>3.2268604791863317E-2</v>
      </c>
      <c r="AY10" s="86">
        <f t="shared" si="10"/>
        <v>3.1100298953373223E-2</v>
      </c>
      <c r="AZ10" s="86">
        <f t="shared" si="10"/>
        <v>2.9957050320760625E-2</v>
      </c>
      <c r="BA10" s="86">
        <f t="shared" si="10"/>
        <v>2.8841838741794086E-2</v>
      </c>
      <c r="BB10" s="86">
        <f t="shared" si="10"/>
        <v>2.7758043685576883E-2</v>
      </c>
      <c r="BC10" s="86">
        <f t="shared" si="10"/>
        <v>2.6709489805101301E-2</v>
      </c>
      <c r="BD10" s="86">
        <f t="shared" si="10"/>
        <v>2.5700490874745935E-2</v>
      </c>
      <c r="BE10" s="86">
        <f t="shared" si="10"/>
        <v>2.4735887813310042E-2</v>
      </c>
      <c r="BF10" s="86">
        <f t="shared" si="10"/>
        <v>2.3821074488320097E-2</v>
      </c>
      <c r="BG10" s="86">
        <f t="shared" si="10"/>
        <v>2.2962002586865149E-2</v>
      </c>
      <c r="BH10" s="86">
        <f t="shared" si="10"/>
        <v>2.2165154296236739E-2</v>
      </c>
      <c r="BI10" s="86">
        <f t="shared" si="10"/>
        <v>2.1437469447405284E-2</v>
      </c>
      <c r="BJ10" s="86">
        <f t="shared" si="10"/>
        <v>2.0786213142286427E-2</v>
      </c>
      <c r="BK10" s="86">
        <f t="shared" si="10"/>
        <v>2.0218772129888599E-2</v>
      </c>
      <c r="BL10" s="86">
        <f t="shared" si="10"/>
        <v>1.974237486321825E-2</v>
      </c>
      <c r="BM10" s="86">
        <f t="shared" si="10"/>
        <v>1.9363742231164324E-2</v>
      </c>
      <c r="BN10" s="86">
        <f t="shared" si="10"/>
        <v>1.9088692734333442E-2</v>
      </c>
      <c r="BO10" s="86">
        <f t="shared" si="10"/>
        <v>1.8921744015081829E-2</v>
      </c>
    </row>
    <row r="11" spans="1:67" x14ac:dyDescent="0.45">
      <c r="B11" s="39">
        <v>41701</v>
      </c>
      <c r="C11" s="41">
        <v>49.610000999999997</v>
      </c>
      <c r="D11" s="37">
        <f t="shared" si="2"/>
        <v>-1.3913734567407439E-2</v>
      </c>
      <c r="E11" s="41">
        <v>82.209998999999996</v>
      </c>
      <c r="F11" s="37">
        <f t="shared" si="3"/>
        <v>1.7324601344501991E-2</v>
      </c>
      <c r="G11" s="41">
        <v>60.75</v>
      </c>
      <c r="H11" s="37">
        <f t="shared" si="4"/>
        <v>-2.8621697655553231E-2</v>
      </c>
      <c r="I11" s="41">
        <v>21.74</v>
      </c>
      <c r="J11" s="37">
        <f t="shared" si="5"/>
        <v>3.3269912867399498E-2</v>
      </c>
      <c r="K11" s="41">
        <v>37.900002000000001</v>
      </c>
      <c r="L11" s="37">
        <f t="shared" si="6"/>
        <v>-1.07021401539509E-2</v>
      </c>
      <c r="M11" s="41">
        <v>94.989998</v>
      </c>
      <c r="N11" s="37">
        <f t="shared" si="7"/>
        <v>-1.3295928533164945E-2</v>
      </c>
      <c r="O11" s="41">
        <v>56.389999000000003</v>
      </c>
      <c r="P11" s="37">
        <f t="shared" si="8"/>
        <v>-1.681897819210339E-3</v>
      </c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</row>
    <row r="12" spans="1:67" x14ac:dyDescent="0.45">
      <c r="B12" s="39">
        <v>41708</v>
      </c>
      <c r="C12" s="41">
        <v>46.779998999999997</v>
      </c>
      <c r="D12" s="37">
        <f t="shared" si="2"/>
        <v>-5.7044989779379371E-2</v>
      </c>
      <c r="E12" s="41">
        <v>80.069999999999993</v>
      </c>
      <c r="F12" s="37">
        <f t="shared" si="3"/>
        <v>-2.6030884637281204E-2</v>
      </c>
      <c r="G12" s="41">
        <v>59.360000999999997</v>
      </c>
      <c r="H12" s="37">
        <f t="shared" si="4"/>
        <v>-2.2880641975308692E-2</v>
      </c>
      <c r="I12" s="41">
        <v>20.940000999999999</v>
      </c>
      <c r="J12" s="37">
        <f t="shared" si="5"/>
        <v>-3.6798482060717556E-2</v>
      </c>
      <c r="K12" s="41">
        <v>37.700001</v>
      </c>
      <c r="L12" s="37">
        <f t="shared" si="6"/>
        <v>-5.2770709616321472E-3</v>
      </c>
      <c r="M12" s="41">
        <v>93.470000999999996</v>
      </c>
      <c r="N12" s="37">
        <f t="shared" si="7"/>
        <v>-1.600165314247089E-2</v>
      </c>
      <c r="O12" s="41">
        <v>55.192501</v>
      </c>
      <c r="P12" s="37">
        <f t="shared" si="8"/>
        <v>-2.1235999667246014E-2</v>
      </c>
    </row>
    <row r="13" spans="1:67" x14ac:dyDescent="0.45">
      <c r="B13" s="39">
        <v>41715</v>
      </c>
      <c r="C13" s="41">
        <v>47.630001</v>
      </c>
      <c r="D13" s="37">
        <f t="shared" si="2"/>
        <v>1.8170201328991126E-2</v>
      </c>
      <c r="E13" s="41">
        <v>80.349997999999999</v>
      </c>
      <c r="F13" s="37">
        <f t="shared" si="3"/>
        <v>3.4969151992007771E-3</v>
      </c>
      <c r="G13" s="41">
        <v>59.450001</v>
      </c>
      <c r="H13" s="37">
        <f t="shared" si="4"/>
        <v>1.5161724811966128E-3</v>
      </c>
      <c r="I13" s="41">
        <v>20.9</v>
      </c>
      <c r="J13" s="37">
        <f t="shared" si="5"/>
        <v>-1.9102673395287888E-3</v>
      </c>
      <c r="K13" s="41">
        <v>40.159999999999997</v>
      </c>
      <c r="L13" s="37">
        <f t="shared" si="6"/>
        <v>6.5251961133900138E-2</v>
      </c>
      <c r="M13" s="41">
        <v>94.309997999999993</v>
      </c>
      <c r="N13" s="37">
        <f t="shared" si="7"/>
        <v>8.9868085055438991E-3</v>
      </c>
      <c r="O13" s="41">
        <v>55.842498999999997</v>
      </c>
      <c r="P13" s="37">
        <f t="shared" si="8"/>
        <v>1.1776925999421489E-2</v>
      </c>
    </row>
    <row r="14" spans="1:67" x14ac:dyDescent="0.45">
      <c r="B14" s="39">
        <v>41722</v>
      </c>
      <c r="C14" s="41">
        <v>51.889999000000003</v>
      </c>
      <c r="D14" s="37">
        <f t="shared" si="2"/>
        <v>8.9439385063208435E-2</v>
      </c>
      <c r="E14" s="41">
        <v>78.989998</v>
      </c>
      <c r="F14" s="37">
        <f t="shared" si="3"/>
        <v>-1.6925949394547581E-2</v>
      </c>
      <c r="G14" s="41">
        <v>59.98</v>
      </c>
      <c r="H14" s="37">
        <f t="shared" si="4"/>
        <v>8.915037696971554E-3</v>
      </c>
      <c r="I14" s="41">
        <v>19.120000999999998</v>
      </c>
      <c r="J14" s="37">
        <f t="shared" si="5"/>
        <v>-8.5167416267942594E-2</v>
      </c>
      <c r="K14" s="41">
        <v>40.299999</v>
      </c>
      <c r="L14" s="37">
        <f t="shared" si="6"/>
        <v>3.486030876494101E-3</v>
      </c>
      <c r="M14" s="41">
        <v>97.699996999999996</v>
      </c>
      <c r="N14" s="37">
        <f t="shared" si="7"/>
        <v>3.5945276979011315E-2</v>
      </c>
      <c r="O14" s="41">
        <v>53.022499000000003</v>
      </c>
      <c r="P14" s="37">
        <f t="shared" si="8"/>
        <v>-5.0499172682082032E-2</v>
      </c>
    </row>
    <row r="15" spans="1:67" x14ac:dyDescent="0.45">
      <c r="B15" s="39">
        <v>41729</v>
      </c>
      <c r="C15" s="41">
        <v>54.18</v>
      </c>
      <c r="D15" s="37">
        <f t="shared" si="2"/>
        <v>4.4131837427863439E-2</v>
      </c>
      <c r="E15" s="41">
        <v>80.430000000000007</v>
      </c>
      <c r="F15" s="37">
        <f t="shared" si="3"/>
        <v>1.8230181497156221E-2</v>
      </c>
      <c r="G15" s="41">
        <v>61.139999000000003</v>
      </c>
      <c r="H15" s="37">
        <f t="shared" si="4"/>
        <v>1.9339763254418243E-2</v>
      </c>
      <c r="I15" s="41">
        <v>20.84</v>
      </c>
      <c r="J15" s="37">
        <f t="shared" si="5"/>
        <v>8.9958101989639092E-2</v>
      </c>
      <c r="K15" s="41">
        <v>39.869999</v>
      </c>
      <c r="L15" s="37">
        <f t="shared" si="6"/>
        <v>-1.0669975450867871E-2</v>
      </c>
      <c r="M15" s="41">
        <v>97.360000999999997</v>
      </c>
      <c r="N15" s="37">
        <f t="shared" si="7"/>
        <v>-3.4800001068577241E-3</v>
      </c>
      <c r="O15" s="41">
        <v>51.924999</v>
      </c>
      <c r="P15" s="37">
        <f t="shared" si="8"/>
        <v>-2.0698760350771162E-2</v>
      </c>
    </row>
    <row r="16" spans="1:67" x14ac:dyDescent="0.45">
      <c r="B16" s="39">
        <v>41736</v>
      </c>
      <c r="C16" s="41">
        <v>52.080002</v>
      </c>
      <c r="D16" s="37">
        <f t="shared" si="2"/>
        <v>-3.8759653008490207E-2</v>
      </c>
      <c r="E16" s="41">
        <v>77.010002</v>
      </c>
      <c r="F16" s="37">
        <f t="shared" si="3"/>
        <v>-4.2521422354842804E-2</v>
      </c>
      <c r="G16" s="41">
        <v>58.900002000000001</v>
      </c>
      <c r="H16" s="37">
        <f t="shared" si="4"/>
        <v>-3.6637177570120708E-2</v>
      </c>
      <c r="I16" s="41">
        <v>19.850000000000001</v>
      </c>
      <c r="J16" s="37">
        <f t="shared" si="5"/>
        <v>-4.7504798464491287E-2</v>
      </c>
      <c r="K16" s="41">
        <v>39.209999000000003</v>
      </c>
      <c r="L16" s="37">
        <f t="shared" si="6"/>
        <v>-1.6553800264705213E-2</v>
      </c>
      <c r="M16" s="41">
        <v>96.720000999999996</v>
      </c>
      <c r="N16" s="37">
        <f t="shared" si="7"/>
        <v>-6.5735414279628097E-3</v>
      </c>
      <c r="O16" s="41">
        <v>49.157501000000003</v>
      </c>
      <c r="P16" s="37">
        <f t="shared" si="8"/>
        <v>-5.3297988508386802E-2</v>
      </c>
    </row>
    <row r="17" spans="2:25" x14ac:dyDescent="0.45">
      <c r="B17" s="39">
        <v>41743</v>
      </c>
      <c r="C17" s="41">
        <v>51.709999000000003</v>
      </c>
      <c r="D17" s="37">
        <f t="shared" si="2"/>
        <v>-7.1045120159557015E-3</v>
      </c>
      <c r="E17" s="41">
        <v>79.989998</v>
      </c>
      <c r="F17" s="37">
        <f t="shared" si="3"/>
        <v>3.8696220264998825E-2</v>
      </c>
      <c r="G17" s="41">
        <v>60</v>
      </c>
      <c r="H17" s="37">
        <f t="shared" si="4"/>
        <v>1.867568697196308E-2</v>
      </c>
      <c r="I17" s="41">
        <v>19.719999000000001</v>
      </c>
      <c r="J17" s="37">
        <f t="shared" si="5"/>
        <v>-6.5491687657430742E-3</v>
      </c>
      <c r="K17" s="41">
        <v>40.009998000000003</v>
      </c>
      <c r="L17" s="37">
        <f t="shared" si="6"/>
        <v>2.0402933445624407E-2</v>
      </c>
      <c r="M17" s="41">
        <v>100.41999800000001</v>
      </c>
      <c r="N17" s="37">
        <f t="shared" si="7"/>
        <v>3.8254724583801553E-2</v>
      </c>
      <c r="O17" s="41">
        <v>51.987499</v>
      </c>
      <c r="P17" s="37">
        <f t="shared" si="8"/>
        <v>5.7570013577378475E-2</v>
      </c>
    </row>
    <row r="18" spans="2:25" x14ac:dyDescent="0.45">
      <c r="B18" s="39">
        <v>41750</v>
      </c>
      <c r="C18" s="41">
        <v>45.5</v>
      </c>
      <c r="D18" s="37">
        <f t="shared" si="2"/>
        <v>-0.12009280835607834</v>
      </c>
      <c r="E18" s="41">
        <v>78.230002999999996</v>
      </c>
      <c r="F18" s="37">
        <f t="shared" si="3"/>
        <v>-2.2002688386115517E-2</v>
      </c>
      <c r="G18" s="41">
        <v>61.259998000000003</v>
      </c>
      <c r="H18" s="37">
        <f t="shared" si="4"/>
        <v>2.0999966666666717E-2</v>
      </c>
      <c r="I18" s="41">
        <v>19.120000999999998</v>
      </c>
      <c r="J18" s="37">
        <f t="shared" si="5"/>
        <v>-3.0425863611859356E-2</v>
      </c>
      <c r="K18" s="41">
        <v>39.909999999999997</v>
      </c>
      <c r="L18" s="37">
        <f t="shared" si="6"/>
        <v>-2.4993252936430154E-3</v>
      </c>
      <c r="M18" s="41">
        <v>100.410004</v>
      </c>
      <c r="N18" s="37">
        <f t="shared" si="7"/>
        <v>-9.9522009550389085E-5</v>
      </c>
      <c r="O18" s="41">
        <v>49.732498</v>
      </c>
      <c r="P18" s="37">
        <f t="shared" si="8"/>
        <v>-4.3375831562891688E-2</v>
      </c>
    </row>
    <row r="19" spans="2:25" x14ac:dyDescent="0.45">
      <c r="B19" s="39">
        <v>41757</v>
      </c>
      <c r="C19" s="41">
        <v>45.450001</v>
      </c>
      <c r="D19" s="37">
        <f t="shared" si="2"/>
        <v>-1.0988791208791139E-3</v>
      </c>
      <c r="E19" s="41">
        <v>80.309997999999993</v>
      </c>
      <c r="F19" s="37">
        <f t="shared" si="3"/>
        <v>2.6588200437624894E-2</v>
      </c>
      <c r="G19" s="41">
        <v>62.009998000000003</v>
      </c>
      <c r="H19" s="37">
        <f t="shared" si="4"/>
        <v>1.2242899518214152E-2</v>
      </c>
      <c r="I19" s="41">
        <v>19.209999</v>
      </c>
      <c r="J19" s="37">
        <f t="shared" si="5"/>
        <v>4.7070081220184747E-3</v>
      </c>
      <c r="K19" s="41">
        <v>39.689999</v>
      </c>
      <c r="L19" s="37">
        <f t="shared" si="6"/>
        <v>-5.5124279629164708E-3</v>
      </c>
      <c r="M19" s="41">
        <v>102.010002</v>
      </c>
      <c r="N19" s="37">
        <f t="shared" si="7"/>
        <v>1.5934647308648641E-2</v>
      </c>
      <c r="O19" s="41">
        <v>51.104999999999997</v>
      </c>
      <c r="P19" s="37">
        <f t="shared" si="8"/>
        <v>2.759768873865932E-2</v>
      </c>
    </row>
    <row r="20" spans="2:25" x14ac:dyDescent="0.45">
      <c r="B20" s="39">
        <v>41764</v>
      </c>
      <c r="C20" s="41">
        <v>43.77</v>
      </c>
      <c r="D20" s="37">
        <f t="shared" si="2"/>
        <v>-3.6963717558554009E-2</v>
      </c>
      <c r="E20" s="41">
        <v>81.949996999999996</v>
      </c>
      <c r="F20" s="37">
        <f t="shared" si="3"/>
        <v>2.0420857188914426E-2</v>
      </c>
      <c r="G20" s="41">
        <v>59.130001</v>
      </c>
      <c r="H20" s="37">
        <f t="shared" si="4"/>
        <v>-4.6444075034480774E-2</v>
      </c>
      <c r="I20" s="41">
        <v>18.389999</v>
      </c>
      <c r="J20" s="37">
        <f t="shared" si="5"/>
        <v>-4.2686103211145417E-2</v>
      </c>
      <c r="K20" s="41">
        <v>39.540000999999997</v>
      </c>
      <c r="L20" s="37">
        <f t="shared" si="6"/>
        <v>-3.7792391982676447E-3</v>
      </c>
      <c r="M20" s="41">
        <v>101.949997</v>
      </c>
      <c r="N20" s="37">
        <f t="shared" si="7"/>
        <v>-5.8822663291393585E-4</v>
      </c>
      <c r="O20" s="41">
        <v>52.702499000000003</v>
      </c>
      <c r="P20" s="37">
        <f t="shared" si="8"/>
        <v>3.1259152724782434E-2</v>
      </c>
    </row>
    <row r="21" spans="2:25" x14ac:dyDescent="0.45">
      <c r="B21" s="39">
        <v>41771</v>
      </c>
      <c r="C21" s="41">
        <v>45.150002000000001</v>
      </c>
      <c r="D21" s="37">
        <f t="shared" si="2"/>
        <v>3.1528489833219042E-2</v>
      </c>
      <c r="E21" s="41">
        <v>80.389999000000003</v>
      </c>
      <c r="F21" s="37">
        <f t="shared" si="3"/>
        <v>-1.9035973851225317E-2</v>
      </c>
      <c r="G21" s="41">
        <v>58.639999000000003</v>
      </c>
      <c r="H21" s="37">
        <f t="shared" si="4"/>
        <v>-8.2868593220554315E-3</v>
      </c>
      <c r="I21" s="41">
        <v>17.48</v>
      </c>
      <c r="J21" s="37">
        <f t="shared" si="5"/>
        <v>-4.9483363212798386E-2</v>
      </c>
      <c r="K21" s="41">
        <v>39.830002</v>
      </c>
      <c r="L21" s="37">
        <f t="shared" si="6"/>
        <v>7.3343700724742963E-3</v>
      </c>
      <c r="M21" s="41">
        <v>100.739998</v>
      </c>
      <c r="N21" s="37">
        <f t="shared" si="7"/>
        <v>-1.1868553561605268E-2</v>
      </c>
      <c r="O21" s="41">
        <v>52.452499000000003</v>
      </c>
      <c r="P21" s="37">
        <f t="shared" si="8"/>
        <v>-4.743608078243121E-3</v>
      </c>
    </row>
    <row r="22" spans="2:25" x14ac:dyDescent="0.45">
      <c r="B22" s="39">
        <v>41778</v>
      </c>
      <c r="C22" s="41">
        <v>45.299999</v>
      </c>
      <c r="D22" s="37">
        <f t="shared" si="2"/>
        <v>3.3221925438674188E-3</v>
      </c>
      <c r="E22" s="41">
        <v>83.32</v>
      </c>
      <c r="F22" s="37">
        <f t="shared" si="3"/>
        <v>3.6447332211062597E-2</v>
      </c>
      <c r="G22" s="41">
        <v>55.689999</v>
      </c>
      <c r="H22" s="37">
        <f t="shared" si="4"/>
        <v>-5.0306958565944089E-2</v>
      </c>
      <c r="I22" s="41">
        <v>17.790001</v>
      </c>
      <c r="J22" s="37">
        <f t="shared" si="5"/>
        <v>1.7734610983981679E-2</v>
      </c>
      <c r="K22" s="41">
        <v>40.119999</v>
      </c>
      <c r="L22" s="37">
        <f t="shared" si="6"/>
        <v>7.280868326343534E-3</v>
      </c>
      <c r="M22" s="41">
        <v>101.32</v>
      </c>
      <c r="N22" s="37">
        <f t="shared" si="7"/>
        <v>5.7574152423548117E-3</v>
      </c>
      <c r="O22" s="41">
        <v>53.017502</v>
      </c>
      <c r="P22" s="37">
        <f t="shared" si="8"/>
        <v>1.0771707940931418E-2</v>
      </c>
    </row>
    <row r="23" spans="2:25" x14ac:dyDescent="0.45">
      <c r="B23" s="39">
        <v>41785</v>
      </c>
      <c r="C23" s="41">
        <v>44.630001</v>
      </c>
      <c r="D23" s="37">
        <f t="shared" si="2"/>
        <v>-1.479024315210249E-2</v>
      </c>
      <c r="E23" s="41">
        <v>84.010002</v>
      </c>
      <c r="F23" s="37">
        <f t="shared" si="3"/>
        <v>8.2813490158426175E-3</v>
      </c>
      <c r="G23" s="41">
        <v>56.759998000000003</v>
      </c>
      <c r="H23" s="37">
        <f t="shared" si="4"/>
        <v>1.921348571042357E-2</v>
      </c>
      <c r="I23" s="41">
        <v>18.52</v>
      </c>
      <c r="J23" s="37">
        <f t="shared" si="5"/>
        <v>4.103423040841872E-2</v>
      </c>
      <c r="K23" s="41">
        <v>40.939999</v>
      </c>
      <c r="L23" s="37">
        <f t="shared" si="6"/>
        <v>2.0438684457594336E-2</v>
      </c>
      <c r="M23" s="41">
        <v>100.529999</v>
      </c>
      <c r="N23" s="37">
        <f t="shared" si="7"/>
        <v>-7.7970884326884083E-3</v>
      </c>
      <c r="O23" s="41">
        <v>53.707500000000003</v>
      </c>
      <c r="P23" s="37">
        <f t="shared" si="8"/>
        <v>1.3014532446285431E-2</v>
      </c>
    </row>
    <row r="24" spans="2:25" x14ac:dyDescent="0.45">
      <c r="B24" s="39">
        <v>41792</v>
      </c>
      <c r="C24" s="41">
        <v>44.419998</v>
      </c>
      <c r="D24" s="37">
        <f t="shared" si="2"/>
        <v>-4.7054222562083383E-3</v>
      </c>
      <c r="E24" s="41">
        <v>84.610000999999997</v>
      </c>
      <c r="F24" s="37">
        <f t="shared" si="3"/>
        <v>7.1419948305678754E-3</v>
      </c>
      <c r="G24" s="41">
        <v>57.68</v>
      </c>
      <c r="H24" s="37">
        <f t="shared" si="4"/>
        <v>1.6208633411156862E-2</v>
      </c>
      <c r="I24" s="41">
        <v>18.440000999999999</v>
      </c>
      <c r="J24" s="37">
        <f t="shared" si="5"/>
        <v>-4.3196004319654875E-3</v>
      </c>
      <c r="K24" s="41">
        <v>41.48</v>
      </c>
      <c r="L24" s="37">
        <f t="shared" si="6"/>
        <v>1.3190058944554361E-2</v>
      </c>
      <c r="M24" s="41">
        <v>101.599998</v>
      </c>
      <c r="N24" s="37">
        <f t="shared" si="7"/>
        <v>1.0643579137009597E-2</v>
      </c>
      <c r="O24" s="41">
        <v>53.25</v>
      </c>
      <c r="P24" s="37">
        <f t="shared" si="8"/>
        <v>-8.5183633570730926E-3</v>
      </c>
    </row>
    <row r="25" spans="2:25" x14ac:dyDescent="0.45">
      <c r="B25" s="39">
        <v>41799</v>
      </c>
      <c r="C25" s="41">
        <v>37.610000999999997</v>
      </c>
      <c r="D25" s="37">
        <f t="shared" si="2"/>
        <v>-0.15330925949163715</v>
      </c>
      <c r="E25" s="41">
        <v>82.800003000000004</v>
      </c>
      <c r="F25" s="37">
        <f t="shared" si="3"/>
        <v>-2.1392246526506873E-2</v>
      </c>
      <c r="G25" s="41">
        <v>57.23</v>
      </c>
      <c r="H25" s="37">
        <f t="shared" si="4"/>
        <v>-7.8016643550624628E-3</v>
      </c>
      <c r="I25" s="41">
        <v>18.760000000000002</v>
      </c>
      <c r="J25" s="37">
        <f t="shared" si="5"/>
        <v>1.735352400468974E-2</v>
      </c>
      <c r="K25" s="41">
        <v>41.23</v>
      </c>
      <c r="L25" s="37">
        <f t="shared" si="6"/>
        <v>-6.0270009643201543E-3</v>
      </c>
      <c r="M25" s="41">
        <v>102.650002</v>
      </c>
      <c r="N25" s="37">
        <f t="shared" si="7"/>
        <v>1.0334685242808778E-2</v>
      </c>
      <c r="O25" s="41">
        <v>52.822498000000003</v>
      </c>
      <c r="P25" s="37">
        <f t="shared" si="8"/>
        <v>-8.0282065727698953E-3</v>
      </c>
    </row>
    <row r="26" spans="2:25" x14ac:dyDescent="0.45">
      <c r="B26" s="39">
        <v>41806</v>
      </c>
      <c r="C26" s="41">
        <v>40.229999999999997</v>
      </c>
      <c r="D26" s="37">
        <f t="shared" si="2"/>
        <v>6.9662295409138653E-2</v>
      </c>
      <c r="E26" s="41">
        <v>82.82</v>
      </c>
      <c r="F26" s="37">
        <f t="shared" si="3"/>
        <v>2.4150965308527083E-4</v>
      </c>
      <c r="G26" s="41">
        <v>58.290000999999997</v>
      </c>
      <c r="H26" s="37">
        <f t="shared" si="4"/>
        <v>1.8521771798008034E-2</v>
      </c>
      <c r="I26" s="41">
        <v>19.120000999999998</v>
      </c>
      <c r="J26" s="37">
        <f t="shared" si="5"/>
        <v>1.9189818763326059E-2</v>
      </c>
      <c r="K26" s="41">
        <v>41.68</v>
      </c>
      <c r="L26" s="37">
        <f t="shared" si="6"/>
        <v>1.0914382731021171E-2</v>
      </c>
      <c r="M26" s="41">
        <v>103.83000199999999</v>
      </c>
      <c r="N26" s="37">
        <f t="shared" si="7"/>
        <v>1.1495372401453948E-2</v>
      </c>
      <c r="O26" s="41">
        <v>52.372501</v>
      </c>
      <c r="P26" s="37">
        <f t="shared" si="8"/>
        <v>-8.5190405042942733E-3</v>
      </c>
    </row>
    <row r="27" spans="2:25" x14ac:dyDescent="0.45">
      <c r="B27" s="39">
        <v>41813</v>
      </c>
      <c r="C27" s="41">
        <v>40.419998</v>
      </c>
      <c r="D27" s="37">
        <f t="shared" si="2"/>
        <v>4.7227939348745409E-3</v>
      </c>
      <c r="E27" s="41">
        <v>85.300003000000004</v>
      </c>
      <c r="F27" s="37">
        <f t="shared" si="3"/>
        <v>2.9944494083554828E-2</v>
      </c>
      <c r="G27" s="41">
        <v>58.119999</v>
      </c>
      <c r="H27" s="37">
        <f t="shared" si="4"/>
        <v>-2.9164864828188398E-3</v>
      </c>
      <c r="I27" s="41">
        <v>19.200001</v>
      </c>
      <c r="J27" s="37">
        <f t="shared" si="5"/>
        <v>4.1841001995764461E-3</v>
      </c>
      <c r="K27" s="41">
        <v>42.25</v>
      </c>
      <c r="L27" s="37">
        <f t="shared" si="6"/>
        <v>1.3675623800383884E-2</v>
      </c>
      <c r="M27" s="41">
        <v>101.209999</v>
      </c>
      <c r="N27" s="37">
        <f t="shared" si="7"/>
        <v>-2.5233583256600509E-2</v>
      </c>
      <c r="O27" s="41">
        <v>52.32</v>
      </c>
      <c r="P27" s="37">
        <f t="shared" si="8"/>
        <v>-1.0024535585955589E-3</v>
      </c>
    </row>
    <row r="28" spans="2:25" x14ac:dyDescent="0.45">
      <c r="B28" s="39">
        <v>41820</v>
      </c>
      <c r="C28" s="41">
        <v>42.599997999999999</v>
      </c>
      <c r="D28" s="37">
        <f t="shared" si="2"/>
        <v>5.3933698858668916E-2</v>
      </c>
      <c r="E28" s="41">
        <v>86.839995999999999</v>
      </c>
      <c r="F28" s="37">
        <f t="shared" si="3"/>
        <v>1.8053844617098025E-2</v>
      </c>
      <c r="G28" s="41">
        <v>59.509998000000003</v>
      </c>
      <c r="H28" s="37">
        <f t="shared" si="4"/>
        <v>2.3916018993737475E-2</v>
      </c>
      <c r="I28" s="41">
        <v>19.59</v>
      </c>
      <c r="J28" s="37">
        <f t="shared" si="5"/>
        <v>2.0312446858726702E-2</v>
      </c>
      <c r="K28" s="41">
        <v>41.799999</v>
      </c>
      <c r="L28" s="37">
        <f t="shared" si="6"/>
        <v>-1.0650911242603558E-2</v>
      </c>
      <c r="M28" s="41">
        <v>102.589996</v>
      </c>
      <c r="N28" s="37">
        <f t="shared" si="7"/>
        <v>1.3634986796116884E-2</v>
      </c>
      <c r="O28" s="41">
        <v>54.127499</v>
      </c>
      <c r="P28" s="37">
        <f t="shared" si="8"/>
        <v>3.4546999235474003E-2</v>
      </c>
      <c r="Y28" s="6"/>
    </row>
    <row r="29" spans="2:25" x14ac:dyDescent="0.45">
      <c r="B29" s="39">
        <v>41827</v>
      </c>
      <c r="C29" s="41">
        <v>40.169998</v>
      </c>
      <c r="D29" s="37">
        <f t="shared" si="2"/>
        <v>-5.7042256199166953E-2</v>
      </c>
      <c r="E29" s="41">
        <v>86.889999000000003</v>
      </c>
      <c r="F29" s="37">
        <f t="shared" si="3"/>
        <v>5.7580610667006243E-4</v>
      </c>
      <c r="G29" s="41">
        <v>60</v>
      </c>
      <c r="H29" s="37">
        <f t="shared" si="4"/>
        <v>8.233944151703667E-3</v>
      </c>
      <c r="I29" s="41">
        <v>18.809999000000001</v>
      </c>
      <c r="J29" s="37">
        <f t="shared" si="5"/>
        <v>-3.981628381827456E-2</v>
      </c>
      <c r="K29" s="41">
        <v>42.09</v>
      </c>
      <c r="L29" s="37">
        <f t="shared" si="6"/>
        <v>6.9378231324838963E-3</v>
      </c>
      <c r="M29" s="41">
        <v>101.739998</v>
      </c>
      <c r="N29" s="37">
        <f t="shared" si="7"/>
        <v>-8.2853887624676319E-3</v>
      </c>
      <c r="O29" s="41">
        <v>54.25</v>
      </c>
      <c r="P29" s="37">
        <f t="shared" si="8"/>
        <v>2.263193427799052E-3</v>
      </c>
    </row>
    <row r="30" spans="2:25" x14ac:dyDescent="0.45">
      <c r="B30" s="39">
        <v>41834</v>
      </c>
      <c r="C30" s="41">
        <v>38.150002000000001</v>
      </c>
      <c r="D30" s="37">
        <f t="shared" si="2"/>
        <v>-5.0286186222862121E-2</v>
      </c>
      <c r="E30" s="41">
        <v>85.809997999999993</v>
      </c>
      <c r="F30" s="37">
        <f t="shared" si="3"/>
        <v>-1.242952022591242E-2</v>
      </c>
      <c r="G30" s="41">
        <v>60.009998000000003</v>
      </c>
      <c r="H30" s="37">
        <f t="shared" si="4"/>
        <v>1.6663333333338432E-4</v>
      </c>
      <c r="I30" s="41">
        <v>18.52</v>
      </c>
      <c r="J30" s="37">
        <f t="shared" si="5"/>
        <v>-1.5417278863225971E-2</v>
      </c>
      <c r="K30" s="41">
        <v>44.689999</v>
      </c>
      <c r="L30" s="37">
        <f t="shared" si="6"/>
        <v>6.1772368733665872E-2</v>
      </c>
      <c r="M30" s="41">
        <v>102.730003</v>
      </c>
      <c r="N30" s="37">
        <f t="shared" si="7"/>
        <v>9.7307353986776802E-3</v>
      </c>
      <c r="O30" s="41">
        <v>55.049999</v>
      </c>
      <c r="P30" s="37">
        <f t="shared" si="8"/>
        <v>1.4746525345622114E-2</v>
      </c>
    </row>
    <row r="31" spans="2:25" x14ac:dyDescent="0.45">
      <c r="B31" s="39">
        <v>41841</v>
      </c>
      <c r="C31" s="41">
        <v>39.029998999999997</v>
      </c>
      <c r="D31" s="37">
        <f t="shared" si="2"/>
        <v>2.306676156923913E-2</v>
      </c>
      <c r="E31" s="41">
        <v>86.230002999999996</v>
      </c>
      <c r="F31" s="37">
        <f t="shared" si="3"/>
        <v>4.8945928188927745E-3</v>
      </c>
      <c r="G31" s="41">
        <v>60.389999000000003</v>
      </c>
      <c r="H31" s="37">
        <f t="shared" si="4"/>
        <v>6.33229482860506E-3</v>
      </c>
      <c r="I31" s="41">
        <v>17.59</v>
      </c>
      <c r="J31" s="37">
        <f t="shared" si="5"/>
        <v>-5.0215982721382273E-2</v>
      </c>
      <c r="K31" s="41">
        <v>44.5</v>
      </c>
      <c r="L31" s="37">
        <f t="shared" si="6"/>
        <v>-4.2514881237746332E-3</v>
      </c>
      <c r="M31" s="41">
        <v>103.18</v>
      </c>
      <c r="N31" s="37">
        <f t="shared" si="7"/>
        <v>4.3803853485725143E-3</v>
      </c>
      <c r="O31" s="41">
        <v>53.692501</v>
      </c>
      <c r="P31" s="37">
        <f t="shared" si="8"/>
        <v>-2.4659364662295447E-2</v>
      </c>
    </row>
    <row r="32" spans="2:25" x14ac:dyDescent="0.45">
      <c r="B32" s="39">
        <v>41848</v>
      </c>
      <c r="C32" s="41">
        <v>38.299999</v>
      </c>
      <c r="D32" s="37">
        <f t="shared" si="2"/>
        <v>-1.8703561842263867E-2</v>
      </c>
      <c r="E32" s="41">
        <v>85.379997000000003</v>
      </c>
      <c r="F32" s="37">
        <f t="shared" si="3"/>
        <v>-9.8574274664004532E-3</v>
      </c>
      <c r="G32" s="41">
        <v>59.849997999999999</v>
      </c>
      <c r="H32" s="37">
        <f t="shared" si="4"/>
        <v>-8.94189450143895E-3</v>
      </c>
      <c r="I32" s="41">
        <v>17.620000999999998</v>
      </c>
      <c r="J32" s="37">
        <f t="shared" si="5"/>
        <v>1.7055713473563736E-3</v>
      </c>
      <c r="K32" s="41">
        <v>42.860000999999997</v>
      </c>
      <c r="L32" s="37">
        <f t="shared" si="6"/>
        <v>-3.6853910112359618E-2</v>
      </c>
      <c r="M32" s="41">
        <v>98.800003000000004</v>
      </c>
      <c r="N32" s="37">
        <f t="shared" si="7"/>
        <v>-4.2450058150804444E-2</v>
      </c>
      <c r="O32" s="41">
        <v>52.952499000000003</v>
      </c>
      <c r="P32" s="37">
        <f t="shared" si="8"/>
        <v>-1.3782222586353296E-2</v>
      </c>
    </row>
    <row r="33" spans="2:16" x14ac:dyDescent="0.45">
      <c r="B33" s="39">
        <v>41855</v>
      </c>
      <c r="C33" s="41">
        <v>40.110000999999997</v>
      </c>
      <c r="D33" s="37">
        <f t="shared" si="2"/>
        <v>4.7258539092912173E-2</v>
      </c>
      <c r="E33" s="41">
        <v>86.849997999999999</v>
      </c>
      <c r="F33" s="37">
        <f t="shared" si="3"/>
        <v>1.7217159190108619E-2</v>
      </c>
      <c r="G33" s="41">
        <v>58.540000999999997</v>
      </c>
      <c r="H33" s="37">
        <f t="shared" si="4"/>
        <v>-2.1888004073116307E-2</v>
      </c>
      <c r="I33" s="41">
        <v>18.52</v>
      </c>
      <c r="J33" s="37">
        <f t="shared" si="5"/>
        <v>5.1078260438237273E-2</v>
      </c>
      <c r="K33" s="41">
        <v>43.200001</v>
      </c>
      <c r="L33" s="37">
        <f t="shared" si="6"/>
        <v>7.9328042946150059E-3</v>
      </c>
      <c r="M33" s="41">
        <v>99.739998</v>
      </c>
      <c r="N33" s="37">
        <f t="shared" si="7"/>
        <v>9.5141191443080843E-3</v>
      </c>
      <c r="O33" s="41">
        <v>52.615001999999997</v>
      </c>
      <c r="P33" s="37">
        <f t="shared" si="8"/>
        <v>-6.3735802157327106E-3</v>
      </c>
    </row>
    <row r="34" spans="2:16" x14ac:dyDescent="0.45">
      <c r="B34" s="39">
        <v>41862</v>
      </c>
      <c r="C34" s="41">
        <v>38.369999</v>
      </c>
      <c r="D34" s="37">
        <f t="shared" si="2"/>
        <v>-4.3380751847899406E-2</v>
      </c>
      <c r="E34" s="41">
        <v>89.279999000000004</v>
      </c>
      <c r="F34" s="37">
        <f t="shared" si="3"/>
        <v>2.7979286769816671E-2</v>
      </c>
      <c r="G34" s="41">
        <v>58.200001</v>
      </c>
      <c r="H34" s="37">
        <f t="shared" si="4"/>
        <v>-5.8079944344380232E-3</v>
      </c>
      <c r="I34" s="41">
        <v>18.690000999999999</v>
      </c>
      <c r="J34" s="37">
        <f t="shared" si="5"/>
        <v>9.1793196544276024E-3</v>
      </c>
      <c r="K34" s="41">
        <v>44.790000999999997</v>
      </c>
      <c r="L34" s="37">
        <f t="shared" si="6"/>
        <v>3.6805554703575036E-2</v>
      </c>
      <c r="M34" s="41">
        <v>99.029999000000004</v>
      </c>
      <c r="N34" s="37">
        <f t="shared" si="7"/>
        <v>-7.1184982377881763E-3</v>
      </c>
      <c r="O34" s="41">
        <v>52.547500999999997</v>
      </c>
      <c r="P34" s="37">
        <f t="shared" si="8"/>
        <v>-1.2829230720166093E-3</v>
      </c>
    </row>
    <row r="35" spans="2:16" x14ac:dyDescent="0.45">
      <c r="B35" s="39">
        <v>41869</v>
      </c>
      <c r="C35" s="41">
        <v>40.450001</v>
      </c>
      <c r="D35" s="37">
        <f t="shared" si="2"/>
        <v>5.4209070998412073E-2</v>
      </c>
      <c r="E35" s="41">
        <v>90.489998</v>
      </c>
      <c r="F35" s="37">
        <f t="shared" si="3"/>
        <v>1.3552856334597362E-2</v>
      </c>
      <c r="G35" s="41">
        <v>61.049999</v>
      </c>
      <c r="H35" s="37">
        <f t="shared" si="4"/>
        <v>4.8969036959294887E-2</v>
      </c>
      <c r="I35" s="41">
        <v>18.5</v>
      </c>
      <c r="J35" s="37">
        <f t="shared" si="5"/>
        <v>-1.0165917059073392E-2</v>
      </c>
      <c r="K35" s="41">
        <v>45.150002000000001</v>
      </c>
      <c r="L35" s="37">
        <f t="shared" si="6"/>
        <v>8.0375305193675708E-3</v>
      </c>
      <c r="M35" s="41">
        <v>98.5</v>
      </c>
      <c r="N35" s="37">
        <f t="shared" si="7"/>
        <v>-5.3519035176401815E-3</v>
      </c>
      <c r="O35" s="41">
        <v>54.022499000000003</v>
      </c>
      <c r="P35" s="37">
        <f t="shared" si="8"/>
        <v>2.8069802976929514E-2</v>
      </c>
    </row>
    <row r="36" spans="2:16" x14ac:dyDescent="0.45">
      <c r="B36" s="39">
        <v>41876</v>
      </c>
      <c r="C36" s="41">
        <v>39.93</v>
      </c>
      <c r="D36" s="37">
        <f t="shared" si="2"/>
        <v>-1.2855401412721859E-2</v>
      </c>
      <c r="E36" s="41">
        <v>89.879997000000003</v>
      </c>
      <c r="F36" s="37">
        <f t="shared" si="3"/>
        <v>-6.7410875619645493E-3</v>
      </c>
      <c r="G36" s="41">
        <v>60.07</v>
      </c>
      <c r="H36" s="37">
        <f t="shared" si="4"/>
        <v>-1.6052399935338236E-2</v>
      </c>
      <c r="I36" s="41">
        <v>18.329999999999998</v>
      </c>
      <c r="J36" s="37">
        <f t="shared" si="5"/>
        <v>-9.1891891891892809E-3</v>
      </c>
      <c r="K36" s="41">
        <v>45.43</v>
      </c>
      <c r="L36" s="37">
        <f t="shared" si="6"/>
        <v>6.2015058161016042E-3</v>
      </c>
      <c r="M36" s="41">
        <v>99.459998999999996</v>
      </c>
      <c r="N36" s="37">
        <f t="shared" si="7"/>
        <v>9.7461827411167139E-3</v>
      </c>
      <c r="O36" s="41">
        <v>53.130001</v>
      </c>
      <c r="P36" s="37">
        <f t="shared" si="8"/>
        <v>-1.6520857356117555E-2</v>
      </c>
    </row>
    <row r="37" spans="2:16" x14ac:dyDescent="0.45">
      <c r="B37" s="39">
        <v>41883</v>
      </c>
      <c r="C37" s="41">
        <v>39.139999000000003</v>
      </c>
      <c r="D37" s="37">
        <f t="shared" si="2"/>
        <v>-1.9784648134234827E-2</v>
      </c>
      <c r="E37" s="41">
        <v>90.940002000000007</v>
      </c>
      <c r="F37" s="37">
        <f t="shared" si="3"/>
        <v>1.1793558471080098E-2</v>
      </c>
      <c r="G37" s="41">
        <v>61.080002</v>
      </c>
      <c r="H37" s="37">
        <f t="shared" si="4"/>
        <v>1.6813750624271685E-2</v>
      </c>
      <c r="I37" s="41">
        <v>18.48</v>
      </c>
      <c r="J37" s="37">
        <f t="shared" si="5"/>
        <v>8.183306055646598E-3</v>
      </c>
      <c r="K37" s="41">
        <v>45.91</v>
      </c>
      <c r="L37" s="37">
        <f t="shared" si="6"/>
        <v>1.0565705480959649E-2</v>
      </c>
      <c r="M37" s="41">
        <v>99.260002</v>
      </c>
      <c r="N37" s="37">
        <f t="shared" si="7"/>
        <v>-2.0108284939757159E-3</v>
      </c>
      <c r="O37" s="41">
        <v>53.552501999999997</v>
      </c>
      <c r="P37" s="37">
        <f t="shared" si="8"/>
        <v>7.9522114068847263E-3</v>
      </c>
    </row>
    <row r="38" spans="2:16" x14ac:dyDescent="0.45">
      <c r="B38" s="39">
        <v>41890</v>
      </c>
      <c r="C38" s="41">
        <v>45.189999</v>
      </c>
      <c r="D38" s="37">
        <f t="shared" si="2"/>
        <v>0.15457333046942584</v>
      </c>
      <c r="E38" s="41">
        <v>89.669998000000007</v>
      </c>
      <c r="F38" s="37">
        <f t="shared" si="3"/>
        <v>-1.396529549229612E-2</v>
      </c>
      <c r="G38" s="41">
        <v>62.529998999999997</v>
      </c>
      <c r="H38" s="37">
        <f t="shared" si="4"/>
        <v>2.3739308325497373E-2</v>
      </c>
      <c r="I38" s="41">
        <v>19.329999999999998</v>
      </c>
      <c r="J38" s="37">
        <f t="shared" si="5"/>
        <v>4.5995670995670881E-2</v>
      </c>
      <c r="K38" s="41">
        <v>46.700001</v>
      </c>
      <c r="L38" s="37">
        <f t="shared" si="6"/>
        <v>1.7207601829666821E-2</v>
      </c>
      <c r="M38" s="41">
        <v>95.779999000000004</v>
      </c>
      <c r="N38" s="37">
        <f t="shared" si="7"/>
        <v>-3.5059469372164594E-2</v>
      </c>
      <c r="O38" s="41">
        <v>53.509998000000003</v>
      </c>
      <c r="P38" s="37">
        <f t="shared" si="8"/>
        <v>-7.9368840693930384E-4</v>
      </c>
    </row>
    <row r="39" spans="2:16" x14ac:dyDescent="0.45">
      <c r="B39" s="39">
        <v>41897</v>
      </c>
      <c r="C39" s="41">
        <v>43.240001999999997</v>
      </c>
      <c r="D39" s="37">
        <f t="shared" si="2"/>
        <v>-4.315107420117454E-2</v>
      </c>
      <c r="E39" s="41">
        <v>90.489998</v>
      </c>
      <c r="F39" s="37">
        <f t="shared" si="3"/>
        <v>9.1446416671046773E-3</v>
      </c>
      <c r="G39" s="41">
        <v>63.810001</v>
      </c>
      <c r="H39" s="37">
        <f t="shared" si="4"/>
        <v>2.0470206628341755E-2</v>
      </c>
      <c r="I39" s="41">
        <v>19.649999999999999</v>
      </c>
      <c r="J39" s="37">
        <f t="shared" si="5"/>
        <v>1.6554578375582014E-2</v>
      </c>
      <c r="K39" s="41">
        <v>47.52</v>
      </c>
      <c r="L39" s="37">
        <f t="shared" si="6"/>
        <v>1.7558864720366982E-2</v>
      </c>
      <c r="M39" s="41">
        <v>97.120002999999997</v>
      </c>
      <c r="N39" s="37">
        <f t="shared" si="7"/>
        <v>1.3990436562856857E-2</v>
      </c>
      <c r="O39" s="41">
        <v>54.0625</v>
      </c>
      <c r="P39" s="37">
        <f t="shared" si="8"/>
        <v>1.0325210626993426E-2</v>
      </c>
    </row>
    <row r="40" spans="2:16" x14ac:dyDescent="0.45">
      <c r="B40" s="39">
        <v>41904</v>
      </c>
      <c r="C40" s="41">
        <v>42.990001999999997</v>
      </c>
      <c r="D40" s="37">
        <f t="shared" si="2"/>
        <v>-5.7816833588490591E-3</v>
      </c>
      <c r="E40" s="41">
        <v>88.739998</v>
      </c>
      <c r="F40" s="37">
        <f t="shared" si="3"/>
        <v>-1.9339153925055894E-2</v>
      </c>
      <c r="G40" s="41">
        <v>63.150002000000001</v>
      </c>
      <c r="H40" s="37">
        <f t="shared" si="4"/>
        <v>-1.0343190560363714E-2</v>
      </c>
      <c r="I40" s="41">
        <v>19.700001</v>
      </c>
      <c r="J40" s="37">
        <f t="shared" si="5"/>
        <v>2.5445801526718442E-3</v>
      </c>
      <c r="K40" s="41">
        <v>46.41</v>
      </c>
      <c r="L40" s="37">
        <f t="shared" si="6"/>
        <v>-2.3358585858585995E-2</v>
      </c>
      <c r="M40" s="41">
        <v>95.43</v>
      </c>
      <c r="N40" s="37">
        <f t="shared" si="7"/>
        <v>-1.7401183564625614E-2</v>
      </c>
      <c r="O40" s="41">
        <v>52.985000999999997</v>
      </c>
      <c r="P40" s="37">
        <f t="shared" si="8"/>
        <v>-1.993061734104052E-2</v>
      </c>
    </row>
    <row r="41" spans="2:16" x14ac:dyDescent="0.45">
      <c r="B41" s="39">
        <v>41911</v>
      </c>
      <c r="C41" s="41">
        <v>42.07</v>
      </c>
      <c r="D41" s="37">
        <f t="shared" si="2"/>
        <v>-2.1400371183978934E-2</v>
      </c>
      <c r="E41" s="41">
        <v>88.449996999999996</v>
      </c>
      <c r="F41" s="37">
        <f t="shared" si="3"/>
        <v>-3.2679851987375943E-3</v>
      </c>
      <c r="G41" s="41">
        <v>63.07</v>
      </c>
      <c r="H41" s="37">
        <f t="shared" si="4"/>
        <v>-1.2668566502974988E-3</v>
      </c>
      <c r="I41" s="41">
        <v>20.290001</v>
      </c>
      <c r="J41" s="37">
        <f t="shared" si="5"/>
        <v>2.9949237058414353E-2</v>
      </c>
      <c r="K41" s="41">
        <v>46.09</v>
      </c>
      <c r="L41" s="37">
        <f t="shared" si="6"/>
        <v>-6.8950657185949836E-3</v>
      </c>
      <c r="M41" s="41">
        <v>93.919998000000007</v>
      </c>
      <c r="N41" s="37">
        <f t="shared" si="7"/>
        <v>-1.5823137378182962E-2</v>
      </c>
      <c r="O41" s="41">
        <v>52.997501</v>
      </c>
      <c r="P41" s="37">
        <f t="shared" si="8"/>
        <v>2.3591582078110829E-4</v>
      </c>
    </row>
    <row r="42" spans="2:16" x14ac:dyDescent="0.45">
      <c r="B42" s="39">
        <v>41918</v>
      </c>
      <c r="C42" s="41">
        <v>40.349997999999999</v>
      </c>
      <c r="D42" s="37">
        <f t="shared" si="2"/>
        <v>-4.0884288091276463E-2</v>
      </c>
      <c r="E42" s="41">
        <v>86.269997000000004</v>
      </c>
      <c r="F42" s="37">
        <f t="shared" si="3"/>
        <v>-2.4646693882872519E-2</v>
      </c>
      <c r="G42" s="41">
        <v>60.59</v>
      </c>
      <c r="H42" s="37">
        <f t="shared" si="4"/>
        <v>-3.9321388932931613E-2</v>
      </c>
      <c r="I42" s="41">
        <v>22.02</v>
      </c>
      <c r="J42" s="37">
        <f t="shared" si="5"/>
        <v>8.5263623200412822E-2</v>
      </c>
      <c r="K42" s="41">
        <v>44.029998999999997</v>
      </c>
      <c r="L42" s="37">
        <f t="shared" si="6"/>
        <v>-4.4695183336949593E-2</v>
      </c>
      <c r="M42" s="41">
        <v>91.599997999999999</v>
      </c>
      <c r="N42" s="37">
        <f t="shared" si="7"/>
        <v>-2.4701874461283604E-2</v>
      </c>
      <c r="O42" s="41">
        <v>51.244999</v>
      </c>
      <c r="P42" s="37">
        <f t="shared" si="8"/>
        <v>-3.3067634641867356E-2</v>
      </c>
    </row>
    <row r="43" spans="2:16" x14ac:dyDescent="0.45">
      <c r="B43" s="39">
        <v>41925</v>
      </c>
      <c r="C43" s="41">
        <v>38.840000000000003</v>
      </c>
      <c r="D43" s="37">
        <f t="shared" si="2"/>
        <v>-3.7422504952788253E-2</v>
      </c>
      <c r="E43" s="41">
        <v>83.830001999999993</v>
      </c>
      <c r="F43" s="37">
        <f t="shared" si="3"/>
        <v>-2.8283239652830985E-2</v>
      </c>
      <c r="G43" s="41">
        <v>59.07</v>
      </c>
      <c r="H43" s="37">
        <f t="shared" si="4"/>
        <v>-2.5086647961709903E-2</v>
      </c>
      <c r="I43" s="41">
        <v>22.209999</v>
      </c>
      <c r="J43" s="37">
        <f t="shared" si="5"/>
        <v>8.6284741144414291E-3</v>
      </c>
      <c r="K43" s="41">
        <v>43.630001</v>
      </c>
      <c r="L43" s="37">
        <f t="shared" si="6"/>
        <v>-9.084669749822083E-3</v>
      </c>
      <c r="M43" s="41">
        <v>91.209998999999996</v>
      </c>
      <c r="N43" s="37">
        <f t="shared" si="7"/>
        <v>-4.257631097328224E-3</v>
      </c>
      <c r="O43" s="41">
        <v>51.5</v>
      </c>
      <c r="P43" s="37">
        <f t="shared" si="8"/>
        <v>4.9761148400061447E-3</v>
      </c>
    </row>
    <row r="44" spans="2:16" x14ac:dyDescent="0.45">
      <c r="B44" s="39">
        <v>41932</v>
      </c>
      <c r="C44" s="41">
        <v>41.400002000000001</v>
      </c>
      <c r="D44" s="37">
        <f t="shared" si="2"/>
        <v>6.591148300720899E-2</v>
      </c>
      <c r="E44" s="41">
        <v>88.610000999999997</v>
      </c>
      <c r="F44" s="37">
        <f t="shared" si="3"/>
        <v>5.7020146558030671E-2</v>
      </c>
      <c r="G44" s="41">
        <v>61.57</v>
      </c>
      <c r="H44" s="37">
        <f t="shared" si="4"/>
        <v>4.2322668020992042E-2</v>
      </c>
      <c r="I44" s="41">
        <v>24.75</v>
      </c>
      <c r="J44" s="37">
        <f t="shared" si="5"/>
        <v>0.11436294976870554</v>
      </c>
      <c r="K44" s="41">
        <v>46.130001</v>
      </c>
      <c r="L44" s="37">
        <f t="shared" si="6"/>
        <v>5.7300021606692148E-2</v>
      </c>
      <c r="M44" s="41">
        <v>94.489998</v>
      </c>
      <c r="N44" s="37">
        <f t="shared" si="7"/>
        <v>3.5960958622530015E-2</v>
      </c>
      <c r="O44" s="41">
        <v>53.369999</v>
      </c>
      <c r="P44" s="37">
        <f t="shared" si="8"/>
        <v>3.6310660194174754E-2</v>
      </c>
    </row>
    <row r="45" spans="2:16" x14ac:dyDescent="0.45">
      <c r="B45" s="39">
        <v>41939</v>
      </c>
      <c r="C45" s="41">
        <v>41.650002000000001</v>
      </c>
      <c r="D45" s="37">
        <f t="shared" si="2"/>
        <v>6.0386470512730894E-3</v>
      </c>
      <c r="E45" s="41">
        <v>91.379997000000003</v>
      </c>
      <c r="F45" s="37">
        <f t="shared" si="3"/>
        <v>3.1260534575549843E-2</v>
      </c>
      <c r="G45" s="41">
        <v>61.82</v>
      </c>
      <c r="H45" s="37">
        <f t="shared" si="4"/>
        <v>4.0604190352444376E-3</v>
      </c>
      <c r="I45" s="41">
        <v>25.120000999999998</v>
      </c>
      <c r="J45" s="37">
        <f t="shared" si="5"/>
        <v>1.4949535353535291E-2</v>
      </c>
      <c r="K45" s="41">
        <v>46.950001</v>
      </c>
      <c r="L45" s="37">
        <f t="shared" si="6"/>
        <v>1.7775850470933229E-2</v>
      </c>
      <c r="M45" s="41">
        <v>96.709998999999996</v>
      </c>
      <c r="N45" s="37">
        <f t="shared" si="7"/>
        <v>2.3494560768220107E-2</v>
      </c>
      <c r="O45" s="41">
        <v>60.357498</v>
      </c>
      <c r="P45" s="37">
        <f t="shared" si="8"/>
        <v>0.13092559735667222</v>
      </c>
    </row>
    <row r="46" spans="2:16" x14ac:dyDescent="0.45">
      <c r="B46" s="39">
        <v>41946</v>
      </c>
      <c r="C46" s="41">
        <v>43.759998000000003</v>
      </c>
      <c r="D46" s="37">
        <f t="shared" si="2"/>
        <v>5.0660165634565935E-2</v>
      </c>
      <c r="E46" s="41">
        <v>90</v>
      </c>
      <c r="F46" s="37">
        <f t="shared" si="3"/>
        <v>-1.5101740482657304E-2</v>
      </c>
      <c r="G46" s="41">
        <v>64.169998000000007</v>
      </c>
      <c r="H46" s="37">
        <f t="shared" si="4"/>
        <v>3.8013555483662351E-2</v>
      </c>
      <c r="I46" s="41">
        <v>24.549999</v>
      </c>
      <c r="J46" s="37">
        <f t="shared" si="5"/>
        <v>-2.269116151707155E-2</v>
      </c>
      <c r="K46" s="41">
        <v>48.68</v>
      </c>
      <c r="L46" s="37">
        <f t="shared" si="6"/>
        <v>3.6847688246055617E-2</v>
      </c>
      <c r="M46" s="41">
        <v>96.589995999999999</v>
      </c>
      <c r="N46" s="37">
        <f t="shared" si="7"/>
        <v>-1.2408541127168968E-3</v>
      </c>
      <c r="O46" s="41">
        <v>63.107498</v>
      </c>
      <c r="P46" s="37">
        <f t="shared" si="8"/>
        <v>4.5561862090439866E-2</v>
      </c>
    </row>
    <row r="47" spans="2:16" x14ac:dyDescent="0.45">
      <c r="B47" s="39">
        <v>41953</v>
      </c>
      <c r="C47" s="41">
        <v>44.990001999999997</v>
      </c>
      <c r="D47" s="37">
        <f t="shared" si="2"/>
        <v>2.8107953752648566E-2</v>
      </c>
      <c r="E47" s="41">
        <v>90.800003000000004</v>
      </c>
      <c r="F47" s="37">
        <f t="shared" si="3"/>
        <v>8.8889222222222636E-3</v>
      </c>
      <c r="G47" s="41">
        <v>68.129997000000003</v>
      </c>
      <c r="H47" s="37">
        <f t="shared" si="4"/>
        <v>6.1711066283654796E-2</v>
      </c>
      <c r="I47" s="41">
        <v>26.290001</v>
      </c>
      <c r="J47" s="37">
        <f t="shared" si="5"/>
        <v>7.0875848100849237E-2</v>
      </c>
      <c r="K47" s="41">
        <v>49.580002</v>
      </c>
      <c r="L47" s="37">
        <f t="shared" si="6"/>
        <v>1.8488126540673801E-2</v>
      </c>
      <c r="M47" s="41">
        <v>95.089995999999999</v>
      </c>
      <c r="N47" s="37">
        <f t="shared" si="7"/>
        <v>-1.5529558568363539E-2</v>
      </c>
      <c r="O47" s="41">
        <v>62.209999000000003</v>
      </c>
      <c r="P47" s="37">
        <f t="shared" si="8"/>
        <v>-1.4221749054288229E-2</v>
      </c>
    </row>
    <row r="48" spans="2:16" x14ac:dyDescent="0.45">
      <c r="B48" s="39">
        <v>41960</v>
      </c>
      <c r="C48" s="41">
        <v>46.91</v>
      </c>
      <c r="D48" s="37">
        <f t="shared" si="2"/>
        <v>4.2676103904151858E-2</v>
      </c>
      <c r="E48" s="41">
        <v>88.959998999999996</v>
      </c>
      <c r="F48" s="37">
        <f t="shared" si="3"/>
        <v>-2.0264360563952928E-2</v>
      </c>
      <c r="G48" s="41">
        <v>71.510002</v>
      </c>
      <c r="H48" s="37">
        <f t="shared" si="4"/>
        <v>4.9611113295660307E-2</v>
      </c>
      <c r="I48" s="41">
        <v>25.549999</v>
      </c>
      <c r="J48" s="37">
        <f t="shared" si="5"/>
        <v>-2.814765963683305E-2</v>
      </c>
      <c r="K48" s="41">
        <v>47.98</v>
      </c>
      <c r="L48" s="37">
        <f t="shared" si="6"/>
        <v>-3.2271116084263238E-2</v>
      </c>
      <c r="M48" s="41">
        <v>96.809997999999993</v>
      </c>
      <c r="N48" s="37">
        <f t="shared" si="7"/>
        <v>1.80881488311346E-2</v>
      </c>
      <c r="O48" s="41">
        <v>63.555</v>
      </c>
      <c r="P48" s="37">
        <f t="shared" si="8"/>
        <v>2.1620334698928323E-2</v>
      </c>
    </row>
    <row r="49" spans="2:16" x14ac:dyDescent="0.45">
      <c r="B49" s="39">
        <v>41967</v>
      </c>
      <c r="C49" s="41">
        <v>48.189999</v>
      </c>
      <c r="D49" s="37">
        <f t="shared" si="2"/>
        <v>2.7286271583884112E-2</v>
      </c>
      <c r="E49" s="41">
        <v>92.510002</v>
      </c>
      <c r="F49" s="37">
        <f t="shared" si="3"/>
        <v>3.9905609711169215E-2</v>
      </c>
      <c r="G49" s="41">
        <v>74</v>
      </c>
      <c r="H49" s="37">
        <f t="shared" si="4"/>
        <v>3.482027591049431E-2</v>
      </c>
      <c r="I49" s="41">
        <v>25.139999</v>
      </c>
      <c r="J49" s="37">
        <f t="shared" si="5"/>
        <v>-1.6046967359959589E-2</v>
      </c>
      <c r="K49" s="41">
        <v>47.810001</v>
      </c>
      <c r="L49" s="37">
        <f t="shared" si="6"/>
        <v>-3.5431221342225329E-3</v>
      </c>
      <c r="M49" s="41">
        <v>90.540001000000004</v>
      </c>
      <c r="N49" s="37">
        <f t="shared" si="7"/>
        <v>-6.4766006915938479E-2</v>
      </c>
      <c r="O49" s="41">
        <v>64.547500999999997</v>
      </c>
      <c r="P49" s="37">
        <f t="shared" si="8"/>
        <v>1.5616410982613441E-2</v>
      </c>
    </row>
    <row r="50" spans="2:16" x14ac:dyDescent="0.45">
      <c r="B50" s="39">
        <v>41974</v>
      </c>
      <c r="C50" s="41">
        <v>45.509998000000003</v>
      </c>
      <c r="D50" s="37">
        <f t="shared" si="2"/>
        <v>-5.5613219664104936E-2</v>
      </c>
      <c r="E50" s="41">
        <v>93.760002</v>
      </c>
      <c r="F50" s="37">
        <f t="shared" si="3"/>
        <v>1.3512052458933036E-2</v>
      </c>
      <c r="G50" s="41">
        <v>73.660004000000001</v>
      </c>
      <c r="H50" s="37">
        <f t="shared" si="4"/>
        <v>-4.594540540540531E-3</v>
      </c>
      <c r="I50" s="41">
        <v>24.67</v>
      </c>
      <c r="J50" s="37">
        <f t="shared" si="5"/>
        <v>-1.8695267251203861E-2</v>
      </c>
      <c r="K50" s="41">
        <v>48.419998</v>
      </c>
      <c r="L50" s="37">
        <f t="shared" si="6"/>
        <v>1.2758774048132731E-2</v>
      </c>
      <c r="M50" s="41">
        <v>93.82</v>
      </c>
      <c r="N50" s="37">
        <f t="shared" si="7"/>
        <v>3.622707050776363E-2</v>
      </c>
      <c r="O50" s="41">
        <v>65.837502000000001</v>
      </c>
      <c r="P50" s="37">
        <f t="shared" si="8"/>
        <v>1.998529733939667E-2</v>
      </c>
    </row>
    <row r="51" spans="2:16" x14ac:dyDescent="0.45">
      <c r="B51" s="39">
        <v>41981</v>
      </c>
      <c r="C51" s="41">
        <v>52.950001</v>
      </c>
      <c r="D51" s="37">
        <f t="shared" si="2"/>
        <v>0.16348062682841685</v>
      </c>
      <c r="E51" s="41">
        <v>91.489998</v>
      </c>
      <c r="F51" s="37">
        <f t="shared" si="3"/>
        <v>-2.4210792998916535E-2</v>
      </c>
      <c r="G51" s="41">
        <v>72.400002000000001</v>
      </c>
      <c r="H51" s="37">
        <f t="shared" si="4"/>
        <v>-1.7105646641018376E-2</v>
      </c>
      <c r="I51" s="41">
        <v>23.83</v>
      </c>
      <c r="J51" s="37">
        <f t="shared" si="5"/>
        <v>-3.4049452776651938E-2</v>
      </c>
      <c r="K51" s="41">
        <v>46.950001</v>
      </c>
      <c r="L51" s="37">
        <f t="shared" si="6"/>
        <v>-3.0359294934295521E-2</v>
      </c>
      <c r="M51" s="41">
        <v>86.599997999999999</v>
      </c>
      <c r="N51" s="37">
        <f t="shared" si="7"/>
        <v>-7.6955894265614944E-2</v>
      </c>
      <c r="O51" s="41">
        <v>64.194999999999993</v>
      </c>
      <c r="P51" s="37">
        <f t="shared" si="8"/>
        <v>-2.4947817734640165E-2</v>
      </c>
    </row>
    <row r="52" spans="2:16" x14ac:dyDescent="0.45">
      <c r="B52" s="39">
        <v>41988</v>
      </c>
      <c r="C52" s="41">
        <v>53.5</v>
      </c>
      <c r="D52" s="37">
        <f t="shared" si="2"/>
        <v>1.0387138614029482E-2</v>
      </c>
      <c r="E52" s="41">
        <v>92.889999000000003</v>
      </c>
      <c r="F52" s="37">
        <f t="shared" si="3"/>
        <v>1.530223008639702E-2</v>
      </c>
      <c r="G52" s="41">
        <v>73.949996999999996</v>
      </c>
      <c r="H52" s="37">
        <f t="shared" si="4"/>
        <v>2.1408770126829492E-2</v>
      </c>
      <c r="I52" s="41">
        <v>23.049999</v>
      </c>
      <c r="J52" s="37">
        <f t="shared" si="5"/>
        <v>-3.2731892572387691E-2</v>
      </c>
      <c r="K52" s="41">
        <v>47.66</v>
      </c>
      <c r="L52" s="37">
        <f t="shared" si="6"/>
        <v>1.5122449092173529E-2</v>
      </c>
      <c r="M52" s="41">
        <v>93.639999000000003</v>
      </c>
      <c r="N52" s="37">
        <f t="shared" si="7"/>
        <v>8.1293315965203644E-2</v>
      </c>
      <c r="O52" s="41">
        <v>65.417502999999996</v>
      </c>
      <c r="P52" s="37">
        <f t="shared" si="8"/>
        <v>1.9043585949061505E-2</v>
      </c>
    </row>
    <row r="53" spans="2:16" x14ac:dyDescent="0.45">
      <c r="B53" s="39">
        <v>41995</v>
      </c>
      <c r="C53" s="41">
        <v>54.77</v>
      </c>
      <c r="D53" s="37">
        <f t="shared" si="2"/>
        <v>2.3738317757009405E-2</v>
      </c>
      <c r="E53" s="41">
        <v>95.029999000000004</v>
      </c>
      <c r="F53" s="37">
        <f t="shared" si="3"/>
        <v>2.3038002185789674E-2</v>
      </c>
      <c r="G53" s="41">
        <v>75.059997999999993</v>
      </c>
      <c r="H53" s="37">
        <f t="shared" si="4"/>
        <v>1.5010156119411295E-2</v>
      </c>
      <c r="I53" s="41">
        <v>23.459999</v>
      </c>
      <c r="J53" s="37">
        <f t="shared" si="5"/>
        <v>1.7787419426786098E-2</v>
      </c>
      <c r="K53" s="41">
        <v>47.880001</v>
      </c>
      <c r="L53" s="37">
        <f t="shared" si="6"/>
        <v>4.6160511959715371E-3</v>
      </c>
      <c r="M53" s="41">
        <v>93.209998999999996</v>
      </c>
      <c r="N53" s="37">
        <f t="shared" si="7"/>
        <v>-4.5920547265277823E-3</v>
      </c>
      <c r="O53" s="41">
        <v>66.654999000000004</v>
      </c>
      <c r="P53" s="37">
        <f t="shared" si="8"/>
        <v>1.8916894458658982E-2</v>
      </c>
    </row>
    <row r="54" spans="2:16" x14ac:dyDescent="0.45">
      <c r="B54" s="39">
        <v>42002</v>
      </c>
      <c r="C54" s="41">
        <v>55.34</v>
      </c>
      <c r="D54" s="37">
        <f t="shared" si="2"/>
        <v>1.040715720284828E-2</v>
      </c>
      <c r="E54" s="41">
        <v>93.75</v>
      </c>
      <c r="F54" s="37">
        <f t="shared" si="3"/>
        <v>-1.3469420324838725E-2</v>
      </c>
      <c r="G54" s="41">
        <v>75.330001999999993</v>
      </c>
      <c r="H54" s="37">
        <f t="shared" si="4"/>
        <v>3.5971756887070547E-3</v>
      </c>
      <c r="I54" s="41">
        <v>22.389999</v>
      </c>
      <c r="J54" s="37">
        <f t="shared" si="5"/>
        <v>-4.5609550111234035E-2</v>
      </c>
      <c r="K54" s="41">
        <v>46.759998000000003</v>
      </c>
      <c r="L54" s="37">
        <f t="shared" si="6"/>
        <v>-2.3391875033586508E-2</v>
      </c>
      <c r="M54" s="41">
        <v>92.830001999999993</v>
      </c>
      <c r="N54" s="37">
        <f t="shared" si="7"/>
        <v>-4.0767836506467835E-3</v>
      </c>
      <c r="O54" s="41">
        <v>66.254997000000003</v>
      </c>
      <c r="P54" s="37">
        <f t="shared" si="8"/>
        <v>-6.0010802790650495E-3</v>
      </c>
    </row>
    <row r="55" spans="2:16" x14ac:dyDescent="0.45">
      <c r="B55" s="39">
        <v>42009</v>
      </c>
      <c r="C55" s="41">
        <v>58.630001</v>
      </c>
      <c r="D55" s="37">
        <f t="shared" si="2"/>
        <v>5.9450686664257256E-2</v>
      </c>
      <c r="E55" s="41">
        <v>94.25</v>
      </c>
      <c r="F55" s="37">
        <f t="shared" si="3"/>
        <v>5.3333333333333332E-3</v>
      </c>
      <c r="G55" s="41">
        <v>76.430000000000007</v>
      </c>
      <c r="H55" s="37">
        <f t="shared" si="4"/>
        <v>1.4602389098569434E-2</v>
      </c>
      <c r="I55" s="41">
        <v>22.190000999999999</v>
      </c>
      <c r="J55" s="37">
        <f t="shared" si="5"/>
        <v>-8.9324702515619046E-3</v>
      </c>
      <c r="K55" s="41">
        <v>47.189999</v>
      </c>
      <c r="L55" s="37">
        <f t="shared" si="6"/>
        <v>9.1959157055566416E-3</v>
      </c>
      <c r="M55" s="41">
        <v>92.099997999999999</v>
      </c>
      <c r="N55" s="37">
        <f t="shared" si="7"/>
        <v>-7.863880041713173E-3</v>
      </c>
      <c r="O55" s="41">
        <v>65.132499999999993</v>
      </c>
      <c r="P55" s="37">
        <f t="shared" si="8"/>
        <v>-1.6942073063560922E-2</v>
      </c>
    </row>
    <row r="56" spans="2:16" x14ac:dyDescent="0.45">
      <c r="B56" s="39">
        <v>42016</v>
      </c>
      <c r="C56" s="41">
        <v>63</v>
      </c>
      <c r="D56" s="37">
        <f t="shared" si="2"/>
        <v>7.453520254928872E-2</v>
      </c>
      <c r="E56" s="41">
        <v>95.18</v>
      </c>
      <c r="F56" s="37">
        <f t="shared" si="3"/>
        <v>9.8673740053051122E-3</v>
      </c>
      <c r="G56" s="41">
        <v>74.940002000000007</v>
      </c>
      <c r="H56" s="37">
        <f t="shared" si="4"/>
        <v>-1.9494936543242181E-2</v>
      </c>
      <c r="I56" s="41">
        <v>22.790001</v>
      </c>
      <c r="J56" s="37">
        <f t="shared" si="5"/>
        <v>2.7039205631401345E-2</v>
      </c>
      <c r="K56" s="41">
        <v>46.240001999999997</v>
      </c>
      <c r="L56" s="37">
        <f t="shared" si="6"/>
        <v>-2.0131320621558039E-2</v>
      </c>
      <c r="M56" s="41">
        <v>91.120002999999997</v>
      </c>
      <c r="N56" s="37">
        <f t="shared" si="7"/>
        <v>-1.0640553976993598E-2</v>
      </c>
      <c r="O56" s="41">
        <v>63.737499</v>
      </c>
      <c r="P56" s="37">
        <f t="shared" si="8"/>
        <v>-2.1417894292403847E-2</v>
      </c>
    </row>
    <row r="57" spans="2:16" x14ac:dyDescent="0.45">
      <c r="B57" s="39">
        <v>42023</v>
      </c>
      <c r="C57" s="41">
        <v>66.199996999999996</v>
      </c>
      <c r="D57" s="37">
        <f t="shared" si="2"/>
        <v>5.0793603174603116E-2</v>
      </c>
      <c r="E57" s="41">
        <v>94.720000999999996</v>
      </c>
      <c r="F57" s="37">
        <f t="shared" si="3"/>
        <v>-4.8329375919311879E-3</v>
      </c>
      <c r="G57" s="41">
        <v>75.290001000000004</v>
      </c>
      <c r="H57" s="37">
        <f t="shared" si="4"/>
        <v>4.6703895204058951E-3</v>
      </c>
      <c r="I57" s="41">
        <v>23.139999</v>
      </c>
      <c r="J57" s="37">
        <f t="shared" si="5"/>
        <v>1.5357524556492971E-2</v>
      </c>
      <c r="K57" s="41">
        <v>47.18</v>
      </c>
      <c r="L57" s="37">
        <f t="shared" si="6"/>
        <v>2.032867559132032E-2</v>
      </c>
      <c r="M57" s="41">
        <v>90.889999000000003</v>
      </c>
      <c r="N57" s="37">
        <f t="shared" si="7"/>
        <v>-2.5241878010034075E-3</v>
      </c>
      <c r="O57" s="41">
        <v>64.572502</v>
      </c>
      <c r="P57" s="37">
        <f t="shared" si="8"/>
        <v>1.31006552359389E-2</v>
      </c>
    </row>
    <row r="58" spans="2:16" x14ac:dyDescent="0.45">
      <c r="B58" s="39">
        <v>42030</v>
      </c>
      <c r="C58" s="41">
        <v>66.239998</v>
      </c>
      <c r="D58" s="37">
        <f t="shared" si="2"/>
        <v>6.0424474037368509E-4</v>
      </c>
      <c r="E58" s="41">
        <v>90.959998999999996</v>
      </c>
      <c r="F58" s="37">
        <f t="shared" si="3"/>
        <v>-3.9695966641723326E-2</v>
      </c>
      <c r="G58" s="41">
        <v>73.610000999999997</v>
      </c>
      <c r="H58" s="37">
        <f t="shared" si="4"/>
        <v>-2.2313719985207685E-2</v>
      </c>
      <c r="I58" s="41">
        <v>21.74</v>
      </c>
      <c r="J58" s="37">
        <f t="shared" si="5"/>
        <v>-6.0501255855715516E-2</v>
      </c>
      <c r="K58" s="41">
        <v>40.400002000000001</v>
      </c>
      <c r="L58" s="37">
        <f t="shared" si="6"/>
        <v>-0.14370491733785501</v>
      </c>
      <c r="M58" s="41">
        <v>87.419998000000007</v>
      </c>
      <c r="N58" s="37">
        <f t="shared" si="7"/>
        <v>-3.8178028806007534E-2</v>
      </c>
      <c r="O58" s="41">
        <v>63.727500999999997</v>
      </c>
      <c r="P58" s="37">
        <f t="shared" si="8"/>
        <v>-1.3086081130943377E-2</v>
      </c>
    </row>
    <row r="59" spans="2:16" x14ac:dyDescent="0.45">
      <c r="B59" s="39">
        <v>42037</v>
      </c>
      <c r="C59" s="41">
        <v>64.440002000000007</v>
      </c>
      <c r="D59" s="37">
        <f t="shared" si="2"/>
        <v>-2.7173853477471317E-2</v>
      </c>
      <c r="E59" s="41">
        <v>102.019997</v>
      </c>
      <c r="F59" s="37">
        <f t="shared" si="3"/>
        <v>0.12159188788029789</v>
      </c>
      <c r="G59" s="41">
        <v>76.360000999999997</v>
      </c>
      <c r="H59" s="37">
        <f t="shared" si="4"/>
        <v>3.7359053968767097E-2</v>
      </c>
      <c r="I59" s="41">
        <v>22.799999</v>
      </c>
      <c r="J59" s="37">
        <f t="shared" si="5"/>
        <v>4.875800367985287E-2</v>
      </c>
      <c r="K59" s="41">
        <v>42.41</v>
      </c>
      <c r="L59" s="37">
        <f t="shared" si="6"/>
        <v>4.9752423279582902E-2</v>
      </c>
      <c r="M59" s="41">
        <v>91.5</v>
      </c>
      <c r="N59" s="37">
        <f t="shared" si="7"/>
        <v>4.6671266224462653E-2</v>
      </c>
      <c r="O59" s="41">
        <v>66.855002999999996</v>
      </c>
      <c r="P59" s="37">
        <f t="shared" si="8"/>
        <v>4.9076175135127298E-2</v>
      </c>
    </row>
    <row r="60" spans="2:16" x14ac:dyDescent="0.45">
      <c r="B60" s="39">
        <v>42044</v>
      </c>
      <c r="C60" s="41">
        <v>65.980002999999996</v>
      </c>
      <c r="D60" s="37">
        <f t="shared" si="2"/>
        <v>2.3898214652445064E-2</v>
      </c>
      <c r="E60" s="41">
        <v>104.16999800000001</v>
      </c>
      <c r="F60" s="37">
        <f t="shared" si="3"/>
        <v>2.1074309578738796E-2</v>
      </c>
      <c r="G60" s="41">
        <v>76.120002999999997</v>
      </c>
      <c r="H60" s="37">
        <f t="shared" si="4"/>
        <v>-3.1429805769646328E-3</v>
      </c>
      <c r="I60" s="41">
        <v>21.879999000000002</v>
      </c>
      <c r="J60" s="37">
        <f t="shared" si="5"/>
        <v>-4.0350878962757769E-2</v>
      </c>
      <c r="K60" s="41">
        <v>43.869999</v>
      </c>
      <c r="L60" s="37">
        <f t="shared" si="6"/>
        <v>3.4425819382221258E-2</v>
      </c>
      <c r="M60" s="41">
        <v>93.370002999999997</v>
      </c>
      <c r="N60" s="37">
        <f t="shared" si="7"/>
        <v>2.0437191256830568E-2</v>
      </c>
      <c r="O60" s="41">
        <v>67.407500999999996</v>
      </c>
      <c r="P60" s="37">
        <f t="shared" si="8"/>
        <v>8.264123479285462E-3</v>
      </c>
    </row>
    <row r="61" spans="2:16" x14ac:dyDescent="0.45">
      <c r="B61" s="39">
        <v>42051</v>
      </c>
      <c r="C61" s="41">
        <v>67.370002999999997</v>
      </c>
      <c r="D61" s="37">
        <f t="shared" si="2"/>
        <v>2.1066989039088109E-2</v>
      </c>
      <c r="E61" s="41">
        <v>104.550003</v>
      </c>
      <c r="F61" s="37">
        <f t="shared" si="3"/>
        <v>3.6479313362374932E-3</v>
      </c>
      <c r="G61" s="41">
        <v>76.870002999999997</v>
      </c>
      <c r="H61" s="37">
        <f t="shared" si="4"/>
        <v>9.8528635107909806E-3</v>
      </c>
      <c r="I61" s="41">
        <v>22.5</v>
      </c>
      <c r="J61" s="37">
        <f t="shared" si="5"/>
        <v>2.8336427254864061E-2</v>
      </c>
      <c r="K61" s="41">
        <v>43.860000999999997</v>
      </c>
      <c r="L61" s="37">
        <f t="shared" si="6"/>
        <v>-2.2790062064973059E-4</v>
      </c>
      <c r="M61" s="41">
        <v>89.919998000000007</v>
      </c>
      <c r="N61" s="37">
        <f t="shared" si="7"/>
        <v>-3.6949822096503417E-2</v>
      </c>
      <c r="O61" s="41">
        <v>68.25</v>
      </c>
      <c r="P61" s="37">
        <f t="shared" si="8"/>
        <v>1.2498594184644283E-2</v>
      </c>
    </row>
    <row r="62" spans="2:16" x14ac:dyDescent="0.45">
      <c r="B62" s="39">
        <v>42058</v>
      </c>
      <c r="C62" s="41">
        <v>68.440002000000007</v>
      </c>
      <c r="D62" s="37">
        <f t="shared" si="2"/>
        <v>1.5882424704656908E-2</v>
      </c>
      <c r="E62" s="41">
        <v>104.08000199999999</v>
      </c>
      <c r="F62" s="37">
        <f t="shared" si="3"/>
        <v>-4.4954661550799819E-3</v>
      </c>
      <c r="G62" s="41">
        <v>76.830001999999993</v>
      </c>
      <c r="H62" s="37">
        <f t="shared" si="4"/>
        <v>-5.2037203641066242E-4</v>
      </c>
      <c r="I62" s="41">
        <v>22.41</v>
      </c>
      <c r="J62" s="37">
        <f t="shared" si="5"/>
        <v>-3.999999999999994E-3</v>
      </c>
      <c r="K62" s="41">
        <v>43.849997999999999</v>
      </c>
      <c r="L62" s="37">
        <f t="shared" si="6"/>
        <v>-2.2806657026746402E-4</v>
      </c>
      <c r="M62" s="41">
        <v>88.540001000000004</v>
      </c>
      <c r="N62" s="37">
        <f t="shared" si="7"/>
        <v>-1.5346942067325257E-2</v>
      </c>
      <c r="O62" s="41">
        <v>67.827499000000003</v>
      </c>
      <c r="P62" s="37">
        <f t="shared" si="8"/>
        <v>-6.1904908424907975E-3</v>
      </c>
    </row>
    <row r="63" spans="2:16" x14ac:dyDescent="0.45">
      <c r="B63" s="39">
        <v>42065</v>
      </c>
      <c r="C63" s="41">
        <v>62.299999</v>
      </c>
      <c r="D63" s="37">
        <f t="shared" si="2"/>
        <v>-8.9713658979729521E-2</v>
      </c>
      <c r="E63" s="41">
        <v>103.82</v>
      </c>
      <c r="F63" s="37">
        <f t="shared" si="3"/>
        <v>-2.4980975692141137E-3</v>
      </c>
      <c r="G63" s="41">
        <v>77.209998999999996</v>
      </c>
      <c r="H63" s="37">
        <f t="shared" si="4"/>
        <v>4.9459454654186144E-3</v>
      </c>
      <c r="I63" s="41">
        <v>21.34</v>
      </c>
      <c r="J63" s="37">
        <f t="shared" si="5"/>
        <v>-4.774654172244535E-2</v>
      </c>
      <c r="K63" s="41">
        <v>42.360000999999997</v>
      </c>
      <c r="L63" s="37">
        <f t="shared" si="6"/>
        <v>-3.3979408619357346E-2</v>
      </c>
      <c r="M63" s="41">
        <v>85.629997000000003</v>
      </c>
      <c r="N63" s="37">
        <f t="shared" si="7"/>
        <v>-3.2866545822605092E-2</v>
      </c>
      <c r="O63" s="41">
        <v>67.334998999999996</v>
      </c>
      <c r="P63" s="37">
        <f t="shared" si="8"/>
        <v>-7.2610667835475819E-3</v>
      </c>
    </row>
    <row r="64" spans="2:16" x14ac:dyDescent="0.45">
      <c r="B64" s="39">
        <v>42072</v>
      </c>
      <c r="C64" s="41">
        <v>63.119999</v>
      </c>
      <c r="D64" s="37">
        <f t="shared" si="2"/>
        <v>1.3162118991366281E-2</v>
      </c>
      <c r="E64" s="41">
        <v>106.44000200000001</v>
      </c>
      <c r="F64" s="37">
        <f t="shared" si="3"/>
        <v>2.5236004623386765E-2</v>
      </c>
      <c r="G64" s="41">
        <v>79.180000000000007</v>
      </c>
      <c r="H64" s="37">
        <f t="shared" si="4"/>
        <v>2.5514842967424602E-2</v>
      </c>
      <c r="I64" s="41">
        <v>22.540001</v>
      </c>
      <c r="J64" s="37">
        <f t="shared" si="5"/>
        <v>5.6232474226804136E-2</v>
      </c>
      <c r="K64" s="41">
        <v>41.380001</v>
      </c>
      <c r="L64" s="37">
        <f t="shared" si="6"/>
        <v>-2.3135032503894346E-2</v>
      </c>
      <c r="M64" s="41">
        <v>83.870002999999997</v>
      </c>
      <c r="N64" s="37">
        <f t="shared" si="7"/>
        <v>-2.0553474969758623E-2</v>
      </c>
      <c r="O64" s="41">
        <v>66.257499999999993</v>
      </c>
      <c r="P64" s="37">
        <f t="shared" si="8"/>
        <v>-1.6002064542987565E-2</v>
      </c>
    </row>
    <row r="65" spans="2:16" x14ac:dyDescent="0.45">
      <c r="B65" s="39">
        <v>42079</v>
      </c>
      <c r="C65" s="41">
        <v>65.739998</v>
      </c>
      <c r="D65" s="37">
        <f t="shared" si="2"/>
        <v>4.1508223091068171E-2</v>
      </c>
      <c r="E65" s="41">
        <v>108.43</v>
      </c>
      <c r="F65" s="37">
        <f t="shared" si="3"/>
        <v>1.869595981405562E-2</v>
      </c>
      <c r="G65" s="41">
        <v>81.309997999999993</v>
      </c>
      <c r="H65" s="37">
        <f t="shared" si="4"/>
        <v>2.6900707249305204E-2</v>
      </c>
      <c r="I65" s="41">
        <v>24.049999</v>
      </c>
      <c r="J65" s="37">
        <f t="shared" si="5"/>
        <v>6.6991922493703504E-2</v>
      </c>
      <c r="K65" s="41">
        <v>42.880001</v>
      </c>
      <c r="L65" s="37">
        <f t="shared" si="6"/>
        <v>3.6249394967390165E-2</v>
      </c>
      <c r="M65" s="41">
        <v>84.540001000000004</v>
      </c>
      <c r="N65" s="37">
        <f t="shared" si="7"/>
        <v>7.988529581905544E-3</v>
      </c>
      <c r="O65" s="41">
        <v>67.410004000000001</v>
      </c>
      <c r="P65" s="37">
        <f t="shared" si="8"/>
        <v>1.7394317624419991E-2</v>
      </c>
    </row>
    <row r="66" spans="2:16" x14ac:dyDescent="0.45">
      <c r="B66" s="39">
        <v>42086</v>
      </c>
      <c r="C66" s="41">
        <v>64.319999999999993</v>
      </c>
      <c r="D66" s="37">
        <f t="shared" si="2"/>
        <v>-2.1600213617286795E-2</v>
      </c>
      <c r="E66" s="41">
        <v>105.480003</v>
      </c>
      <c r="F66" s="37">
        <f t="shared" si="3"/>
        <v>-2.720646500046122E-2</v>
      </c>
      <c r="G66" s="41">
        <v>81.559997999999993</v>
      </c>
      <c r="H66" s="37">
        <f t="shared" si="4"/>
        <v>3.0746526398881479E-3</v>
      </c>
      <c r="I66" s="41">
        <v>24.1</v>
      </c>
      <c r="J66" s="37">
        <f t="shared" si="5"/>
        <v>2.0790437454904567E-3</v>
      </c>
      <c r="K66" s="41">
        <v>40.970001000000003</v>
      </c>
      <c r="L66" s="37">
        <f t="shared" si="6"/>
        <v>-4.4542909408980577E-2</v>
      </c>
      <c r="M66" s="41">
        <v>83.580001999999993</v>
      </c>
      <c r="N66" s="37">
        <f t="shared" si="7"/>
        <v>-1.1355559364140656E-2</v>
      </c>
      <c r="O66" s="41">
        <v>65.540001000000004</v>
      </c>
      <c r="P66" s="37">
        <f t="shared" si="8"/>
        <v>-2.7740734149785794E-2</v>
      </c>
    </row>
    <row r="67" spans="2:16" x14ac:dyDescent="0.45">
      <c r="B67" s="39">
        <v>42093</v>
      </c>
      <c r="C67" s="41">
        <v>63.349997999999999</v>
      </c>
      <c r="D67" s="37">
        <f t="shared" si="2"/>
        <v>-1.5080876865671547E-2</v>
      </c>
      <c r="E67" s="41">
        <v>106</v>
      </c>
      <c r="F67" s="37">
        <f t="shared" si="3"/>
        <v>4.9298159386666268E-3</v>
      </c>
      <c r="G67" s="41">
        <v>82.669998000000007</v>
      </c>
      <c r="H67" s="37">
        <f t="shared" si="4"/>
        <v>1.3609612888906811E-2</v>
      </c>
      <c r="I67" s="41">
        <v>24.58</v>
      </c>
      <c r="J67" s="37">
        <f t="shared" si="5"/>
        <v>1.991701244813265E-2</v>
      </c>
      <c r="K67" s="41">
        <v>40.290000999999997</v>
      </c>
      <c r="L67" s="37">
        <f t="shared" si="6"/>
        <v>-1.6597509968330409E-2</v>
      </c>
      <c r="M67" s="41">
        <v>84.300003000000004</v>
      </c>
      <c r="N67" s="37">
        <f t="shared" si="7"/>
        <v>8.6145128352594514E-3</v>
      </c>
      <c r="O67" s="41">
        <v>65.290001000000004</v>
      </c>
      <c r="P67" s="37">
        <f t="shared" si="8"/>
        <v>-3.814464390990778E-3</v>
      </c>
    </row>
    <row r="68" spans="2:16" x14ac:dyDescent="0.45">
      <c r="B68" s="39">
        <v>42100</v>
      </c>
      <c r="C68" s="41">
        <v>68.860000999999997</v>
      </c>
      <c r="D68" s="37">
        <f t="shared" ref="D68:D131" si="11">(C68-C67)/C67</f>
        <v>8.6977161388387056E-2</v>
      </c>
      <c r="E68" s="41">
        <v>106.949997</v>
      </c>
      <c r="F68" s="37">
        <f t="shared" ref="F68:F131" si="12">(E68-E67)/E67</f>
        <v>8.9622358490565688E-3</v>
      </c>
      <c r="G68" s="41">
        <v>83.57</v>
      </c>
      <c r="H68" s="37">
        <f t="shared" ref="H68:H131" si="13">(G68-G67)/G67</f>
        <v>1.088668225200618E-2</v>
      </c>
      <c r="I68" s="41">
        <v>23.91</v>
      </c>
      <c r="J68" s="37">
        <f t="shared" ref="J68:J131" si="14">(I68-I67)/I67</f>
        <v>-2.7257933279088618E-2</v>
      </c>
      <c r="K68" s="41">
        <v>41.720001000000003</v>
      </c>
      <c r="L68" s="37">
        <f t="shared" ref="L68:L131" si="15">(K68-K67)/K67</f>
        <v>3.5492677202961773E-2</v>
      </c>
      <c r="M68" s="41">
        <v>85.559997999999993</v>
      </c>
      <c r="N68" s="37">
        <f t="shared" ref="N68:N131" si="16">(M68-M67)/M67</f>
        <v>1.4946559373194675E-2</v>
      </c>
      <c r="O68" s="41">
        <v>66.339995999999999</v>
      </c>
      <c r="P68" s="37">
        <f t="shared" ref="P68:P131" si="17">(O68-O67)/O67</f>
        <v>1.6082018439546288E-2</v>
      </c>
    </row>
    <row r="69" spans="2:16" x14ac:dyDescent="0.45">
      <c r="B69" s="39">
        <v>42107</v>
      </c>
      <c r="C69" s="41">
        <v>66.699996999999996</v>
      </c>
      <c r="D69" s="37">
        <f t="shared" si="11"/>
        <v>-3.1368050662677172E-2</v>
      </c>
      <c r="E69" s="41">
        <v>106.69000200000001</v>
      </c>
      <c r="F69" s="37">
        <f t="shared" si="12"/>
        <v>-2.4309958606168951E-3</v>
      </c>
      <c r="G69" s="41">
        <v>80.019997000000004</v>
      </c>
      <c r="H69" s="37">
        <f t="shared" si="13"/>
        <v>-4.2479394519564319E-2</v>
      </c>
      <c r="I69" s="41">
        <v>23.58</v>
      </c>
      <c r="J69" s="37">
        <f t="shared" si="14"/>
        <v>-1.3801756587202084E-2</v>
      </c>
      <c r="K69" s="41">
        <v>41.619999</v>
      </c>
      <c r="L69" s="37">
        <f t="shared" si="15"/>
        <v>-2.3969798083179209E-3</v>
      </c>
      <c r="M69" s="41">
        <v>86.93</v>
      </c>
      <c r="N69" s="37">
        <f t="shared" si="16"/>
        <v>1.6012178962416686E-2</v>
      </c>
      <c r="O69" s="41">
        <v>64.519997000000004</v>
      </c>
      <c r="P69" s="37">
        <f t="shared" si="17"/>
        <v>-2.7434415280941465E-2</v>
      </c>
    </row>
    <row r="70" spans="2:16" x14ac:dyDescent="0.45">
      <c r="B70" s="39">
        <v>42114</v>
      </c>
      <c r="C70" s="41">
        <v>66.940002000000007</v>
      </c>
      <c r="D70" s="37">
        <f t="shared" si="11"/>
        <v>3.5982760239106262E-3</v>
      </c>
      <c r="E70" s="41">
        <v>109.529999</v>
      </c>
      <c r="F70" s="37">
        <f t="shared" si="12"/>
        <v>2.6619148437170302E-2</v>
      </c>
      <c r="G70" s="41">
        <v>82.699996999999996</v>
      </c>
      <c r="H70" s="37">
        <f t="shared" si="13"/>
        <v>3.3491628348848758E-2</v>
      </c>
      <c r="I70" s="41">
        <v>23.25</v>
      </c>
      <c r="J70" s="37">
        <f t="shared" si="14"/>
        <v>-1.3994910941475756E-2</v>
      </c>
      <c r="K70" s="41">
        <v>47.869999</v>
      </c>
      <c r="L70" s="37">
        <f t="shared" si="15"/>
        <v>0.15016819197905315</v>
      </c>
      <c r="M70" s="41">
        <v>86.970000999999996</v>
      </c>
      <c r="N70" s="37">
        <f t="shared" si="16"/>
        <v>4.6015184631300487E-4</v>
      </c>
      <c r="O70" s="41">
        <v>67.480002999999996</v>
      </c>
      <c r="P70" s="37">
        <f t="shared" si="17"/>
        <v>4.5877342492746748E-2</v>
      </c>
    </row>
    <row r="71" spans="2:16" x14ac:dyDescent="0.45">
      <c r="B71" s="39">
        <v>42121</v>
      </c>
      <c r="C71" s="41">
        <v>63.57</v>
      </c>
      <c r="D71" s="37">
        <f t="shared" si="11"/>
        <v>-5.0343619649130068E-2</v>
      </c>
      <c r="E71" s="41">
        <v>110.519997</v>
      </c>
      <c r="F71" s="37">
        <f t="shared" si="12"/>
        <v>9.0386013789701576E-3</v>
      </c>
      <c r="G71" s="41">
        <v>79.650002000000001</v>
      </c>
      <c r="H71" s="37">
        <f t="shared" si="13"/>
        <v>-3.6880231083926109E-2</v>
      </c>
      <c r="I71" s="41">
        <v>22.42</v>
      </c>
      <c r="J71" s="37">
        <f t="shared" si="14"/>
        <v>-3.5698924731182725E-2</v>
      </c>
      <c r="K71" s="41">
        <v>48.66</v>
      </c>
      <c r="L71" s="37">
        <f t="shared" si="15"/>
        <v>1.6503050271632482E-2</v>
      </c>
      <c r="M71" s="41">
        <v>88.849997999999999</v>
      </c>
      <c r="N71" s="37">
        <f t="shared" si="16"/>
        <v>2.1616614676134165E-2</v>
      </c>
      <c r="O71" s="41">
        <v>65.769997000000004</v>
      </c>
      <c r="P71" s="37">
        <f t="shared" si="17"/>
        <v>-2.5340929519519922E-2</v>
      </c>
    </row>
    <row r="72" spans="2:16" x14ac:dyDescent="0.45">
      <c r="B72" s="39">
        <v>42128</v>
      </c>
      <c r="C72" s="41">
        <v>65.489998</v>
      </c>
      <c r="D72" s="37">
        <f t="shared" si="11"/>
        <v>3.0202894447066222E-2</v>
      </c>
      <c r="E72" s="41">
        <v>110.110001</v>
      </c>
      <c r="F72" s="37">
        <f t="shared" si="12"/>
        <v>-3.7096997025796758E-3</v>
      </c>
      <c r="G72" s="41">
        <v>80.739998</v>
      </c>
      <c r="H72" s="37">
        <f t="shared" si="13"/>
        <v>1.3684820748654838E-2</v>
      </c>
      <c r="I72" s="41">
        <v>21.940000999999999</v>
      </c>
      <c r="J72" s="37">
        <f t="shared" si="14"/>
        <v>-2.1409411239964447E-2</v>
      </c>
      <c r="K72" s="41">
        <v>47.75</v>
      </c>
      <c r="L72" s="37">
        <f t="shared" si="15"/>
        <v>-1.8701191944101862E-2</v>
      </c>
      <c r="M72" s="41">
        <v>88.989998</v>
      </c>
      <c r="N72" s="37">
        <f t="shared" si="16"/>
        <v>1.5756893995653278E-3</v>
      </c>
      <c r="O72" s="41">
        <v>69.470000999999996</v>
      </c>
      <c r="P72" s="37">
        <f t="shared" si="17"/>
        <v>5.6256715353050608E-2</v>
      </c>
    </row>
    <row r="73" spans="2:16" x14ac:dyDescent="0.45">
      <c r="B73" s="39">
        <v>42135</v>
      </c>
      <c r="C73" s="41">
        <v>64.489998</v>
      </c>
      <c r="D73" s="37">
        <f t="shared" si="11"/>
        <v>-1.5269507261246214E-2</v>
      </c>
      <c r="E73" s="41">
        <v>110.300003</v>
      </c>
      <c r="F73" s="37">
        <f t="shared" si="12"/>
        <v>1.7255653280759382E-3</v>
      </c>
      <c r="G73" s="41">
        <v>78.529999000000004</v>
      </c>
      <c r="H73" s="37">
        <f t="shared" si="13"/>
        <v>-2.7371799043145829E-2</v>
      </c>
      <c r="I73" s="41">
        <v>21.110001</v>
      </c>
      <c r="J73" s="37">
        <f t="shared" si="14"/>
        <v>-3.7830444948475539E-2</v>
      </c>
      <c r="K73" s="41">
        <v>48.299999</v>
      </c>
      <c r="L73" s="37">
        <f t="shared" si="15"/>
        <v>1.1518303664921459E-2</v>
      </c>
      <c r="M73" s="41">
        <v>87.349997999999999</v>
      </c>
      <c r="N73" s="37">
        <f t="shared" si="16"/>
        <v>-1.8429037384628331E-2</v>
      </c>
      <c r="O73" s="41">
        <v>69.569999999999993</v>
      </c>
      <c r="P73" s="37">
        <f t="shared" si="17"/>
        <v>1.4394558595154886E-3</v>
      </c>
    </row>
    <row r="74" spans="2:16" x14ac:dyDescent="0.45">
      <c r="B74" s="39">
        <v>42142</v>
      </c>
      <c r="C74" s="41">
        <v>61.16</v>
      </c>
      <c r="D74" s="37">
        <f t="shared" si="11"/>
        <v>-5.1635883133381445E-2</v>
      </c>
      <c r="E74" s="41">
        <v>110.260002</v>
      </c>
      <c r="F74" s="37">
        <f t="shared" si="12"/>
        <v>-3.6265638179541776E-4</v>
      </c>
      <c r="G74" s="41">
        <v>79.290001000000004</v>
      </c>
      <c r="H74" s="37">
        <f t="shared" si="13"/>
        <v>9.6778557198249817E-3</v>
      </c>
      <c r="I74" s="41">
        <v>20.48</v>
      </c>
      <c r="J74" s="37">
        <f t="shared" si="14"/>
        <v>-2.9843721940136337E-2</v>
      </c>
      <c r="K74" s="41">
        <v>46.900002000000001</v>
      </c>
      <c r="L74" s="37">
        <f t="shared" si="15"/>
        <v>-2.8985445734688298E-2</v>
      </c>
      <c r="M74" s="41">
        <v>86.519997000000004</v>
      </c>
      <c r="N74" s="37">
        <f t="shared" si="16"/>
        <v>-9.5020151002178123E-3</v>
      </c>
      <c r="O74" s="41">
        <v>69.620002999999997</v>
      </c>
      <c r="P74" s="37">
        <f t="shared" si="17"/>
        <v>7.1874371136989798E-4</v>
      </c>
    </row>
    <row r="75" spans="2:16" x14ac:dyDescent="0.45">
      <c r="B75" s="39">
        <v>42149</v>
      </c>
      <c r="C75" s="41">
        <v>59.790000999999997</v>
      </c>
      <c r="D75" s="37">
        <f t="shared" si="11"/>
        <v>-2.2400245258338784E-2</v>
      </c>
      <c r="E75" s="41">
        <v>110.370003</v>
      </c>
      <c r="F75" s="37">
        <f t="shared" si="12"/>
        <v>9.9765098861504561E-4</v>
      </c>
      <c r="G75" s="41">
        <v>79.319999999999993</v>
      </c>
      <c r="H75" s="37">
        <f t="shared" si="13"/>
        <v>3.7834530989587766E-4</v>
      </c>
      <c r="I75" s="41">
        <v>20.700001</v>
      </c>
      <c r="J75" s="37">
        <f t="shared" si="14"/>
        <v>1.0742236328124995E-2</v>
      </c>
      <c r="K75" s="41">
        <v>46.860000999999997</v>
      </c>
      <c r="L75" s="37">
        <f t="shared" si="15"/>
        <v>-8.5289975040947182E-4</v>
      </c>
      <c r="M75" s="41">
        <v>85.199996999999996</v>
      </c>
      <c r="N75" s="37">
        <f t="shared" si="16"/>
        <v>-1.5256588601130064E-2</v>
      </c>
      <c r="O75" s="41">
        <v>68.680000000000007</v>
      </c>
      <c r="P75" s="37">
        <f t="shared" si="17"/>
        <v>-1.3501909788771341E-2</v>
      </c>
    </row>
    <row r="76" spans="2:16" x14ac:dyDescent="0.45">
      <c r="B76" s="39">
        <v>42156</v>
      </c>
      <c r="C76" s="41">
        <v>63.799999</v>
      </c>
      <c r="D76" s="37">
        <f t="shared" si="11"/>
        <v>6.7068037011740536E-2</v>
      </c>
      <c r="E76" s="41">
        <v>110.300003</v>
      </c>
      <c r="F76" s="37">
        <f t="shared" si="12"/>
        <v>-6.3423029896984948E-4</v>
      </c>
      <c r="G76" s="41">
        <v>79.199996999999996</v>
      </c>
      <c r="H76" s="37">
        <f t="shared" si="13"/>
        <v>-1.5128971255672842E-3</v>
      </c>
      <c r="I76" s="41">
        <v>21.719999000000001</v>
      </c>
      <c r="J76" s="37">
        <f t="shared" si="14"/>
        <v>4.9275263320035637E-2</v>
      </c>
      <c r="K76" s="41">
        <v>46.139999000000003</v>
      </c>
      <c r="L76" s="37">
        <f t="shared" si="15"/>
        <v>-1.5364959125800997E-2</v>
      </c>
      <c r="M76" s="41">
        <v>84.279999000000004</v>
      </c>
      <c r="N76" s="37">
        <f t="shared" si="16"/>
        <v>-1.0798098971763962E-2</v>
      </c>
      <c r="O76" s="41">
        <v>68.370002999999997</v>
      </c>
      <c r="P76" s="37">
        <f t="shared" si="17"/>
        <v>-4.5136429819453965E-3</v>
      </c>
    </row>
    <row r="77" spans="2:16" x14ac:dyDescent="0.45">
      <c r="B77" s="39">
        <v>42163</v>
      </c>
      <c r="C77" s="41">
        <v>66.480002999999996</v>
      </c>
      <c r="D77" s="37">
        <f t="shared" si="11"/>
        <v>4.2006332946807674E-2</v>
      </c>
      <c r="E77" s="41">
        <v>109.949997</v>
      </c>
      <c r="F77" s="37">
        <f t="shared" si="12"/>
        <v>-3.1732184087067301E-3</v>
      </c>
      <c r="G77" s="41">
        <v>79.470000999999996</v>
      </c>
      <c r="H77" s="37">
        <f t="shared" si="13"/>
        <v>3.4091415432755652E-3</v>
      </c>
      <c r="I77" s="41">
        <v>21.940000999999999</v>
      </c>
      <c r="J77" s="37">
        <f t="shared" si="14"/>
        <v>1.0129005991206416E-2</v>
      </c>
      <c r="K77" s="41">
        <v>45.970001000000003</v>
      </c>
      <c r="L77" s="37">
        <f t="shared" si="15"/>
        <v>-3.6843953984480936E-3</v>
      </c>
      <c r="M77" s="41">
        <v>84.019997000000004</v>
      </c>
      <c r="N77" s="37">
        <f t="shared" si="16"/>
        <v>-3.0849786792237627E-3</v>
      </c>
      <c r="O77" s="41">
        <v>69.330001999999993</v>
      </c>
      <c r="P77" s="37">
        <f t="shared" si="17"/>
        <v>1.4041230918184929E-2</v>
      </c>
    </row>
    <row r="78" spans="2:16" x14ac:dyDescent="0.45">
      <c r="B78" s="39">
        <v>42170</v>
      </c>
      <c r="C78" s="41">
        <v>65.989998</v>
      </c>
      <c r="D78" s="37">
        <f t="shared" si="11"/>
        <v>-7.370712663776452E-3</v>
      </c>
      <c r="E78" s="41">
        <v>112.620003</v>
      </c>
      <c r="F78" s="37">
        <f t="shared" si="12"/>
        <v>2.4283820580731811E-2</v>
      </c>
      <c r="G78" s="41">
        <v>83.349997999999999</v>
      </c>
      <c r="H78" s="37">
        <f t="shared" si="13"/>
        <v>4.882341702751461E-2</v>
      </c>
      <c r="I78" s="41">
        <v>23.059999000000001</v>
      </c>
      <c r="J78" s="37">
        <f t="shared" si="14"/>
        <v>5.1048220098075775E-2</v>
      </c>
      <c r="K78" s="41">
        <v>46.099997999999999</v>
      </c>
      <c r="L78" s="37">
        <f t="shared" si="15"/>
        <v>2.8278659380493796E-3</v>
      </c>
      <c r="M78" s="41">
        <v>85.209998999999996</v>
      </c>
      <c r="N78" s="37">
        <f t="shared" si="16"/>
        <v>1.4163318763270042E-2</v>
      </c>
      <c r="O78" s="41">
        <v>68.690002000000007</v>
      </c>
      <c r="P78" s="37">
        <f t="shared" si="17"/>
        <v>-9.2312127727904349E-3</v>
      </c>
    </row>
    <row r="79" spans="2:16" x14ac:dyDescent="0.45">
      <c r="B79" s="39">
        <v>42177</v>
      </c>
      <c r="C79" s="41">
        <v>67.089995999999999</v>
      </c>
      <c r="D79" s="37">
        <f t="shared" si="11"/>
        <v>1.6669162499444223E-2</v>
      </c>
      <c r="E79" s="41">
        <v>114.989998</v>
      </c>
      <c r="F79" s="37">
        <f t="shared" si="12"/>
        <v>2.1044174541533293E-2</v>
      </c>
      <c r="G79" s="41">
        <v>84.080001999999993</v>
      </c>
      <c r="H79" s="37">
        <f t="shared" si="13"/>
        <v>8.7582965508888663E-3</v>
      </c>
      <c r="I79" s="41">
        <v>23.219999000000001</v>
      </c>
      <c r="J79" s="37">
        <f t="shared" si="14"/>
        <v>6.9384218099922783E-3</v>
      </c>
      <c r="K79" s="41">
        <v>45.259998000000003</v>
      </c>
      <c r="L79" s="37">
        <f t="shared" si="15"/>
        <v>-1.8221258925000306E-2</v>
      </c>
      <c r="M79" s="41">
        <v>83.860000999999997</v>
      </c>
      <c r="N79" s="37">
        <f t="shared" si="16"/>
        <v>-1.5843187605248058E-2</v>
      </c>
      <c r="O79" s="41">
        <v>68.75</v>
      </c>
      <c r="P79" s="37">
        <f t="shared" si="17"/>
        <v>8.7346044916395706E-4</v>
      </c>
    </row>
    <row r="80" spans="2:16" x14ac:dyDescent="0.45">
      <c r="B80" s="39">
        <v>42184</v>
      </c>
      <c r="C80" s="41">
        <v>65.180000000000007</v>
      </c>
      <c r="D80" s="37">
        <f t="shared" si="11"/>
        <v>-2.8469162526108847E-2</v>
      </c>
      <c r="E80" s="41">
        <v>114.970001</v>
      </c>
      <c r="F80" s="37">
        <f t="shared" si="12"/>
        <v>-1.7390208146628191E-4</v>
      </c>
      <c r="G80" s="41">
        <v>82.269997000000004</v>
      </c>
      <c r="H80" s="37">
        <f t="shared" si="13"/>
        <v>-2.1527175986508537E-2</v>
      </c>
      <c r="I80" s="41">
        <v>23.040001</v>
      </c>
      <c r="J80" s="37">
        <f t="shared" si="14"/>
        <v>-7.7518521856956672E-3</v>
      </c>
      <c r="K80" s="41">
        <v>44.400002000000001</v>
      </c>
      <c r="L80" s="37">
        <f t="shared" si="15"/>
        <v>-1.9001238135273501E-2</v>
      </c>
      <c r="M80" s="41">
        <v>83.139999000000003</v>
      </c>
      <c r="N80" s="37">
        <f t="shared" si="16"/>
        <v>-8.5857618818773185E-3</v>
      </c>
      <c r="O80" s="41">
        <v>68.239998</v>
      </c>
      <c r="P80" s="37">
        <f t="shared" si="17"/>
        <v>-7.4182109090909099E-3</v>
      </c>
    </row>
    <row r="81" spans="2:16" x14ac:dyDescent="0.45">
      <c r="B81" s="39">
        <v>42191</v>
      </c>
      <c r="C81" s="41">
        <v>63</v>
      </c>
      <c r="D81" s="37">
        <f t="shared" si="11"/>
        <v>-3.344584228290897E-2</v>
      </c>
      <c r="E81" s="41">
        <v>116.44000200000001</v>
      </c>
      <c r="F81" s="37">
        <f t="shared" si="12"/>
        <v>1.2785952746055996E-2</v>
      </c>
      <c r="G81" s="41">
        <v>83.910004000000001</v>
      </c>
      <c r="H81" s="37">
        <f t="shared" si="13"/>
        <v>1.9934448277663084E-2</v>
      </c>
      <c r="I81" s="41">
        <v>23.950001</v>
      </c>
      <c r="J81" s="37">
        <f t="shared" si="14"/>
        <v>3.949652606351884E-2</v>
      </c>
      <c r="K81" s="41">
        <v>44.610000999999997</v>
      </c>
      <c r="L81" s="37">
        <f t="shared" si="15"/>
        <v>4.7297069941572584E-3</v>
      </c>
      <c r="M81" s="41">
        <v>82.220000999999996</v>
      </c>
      <c r="N81" s="37">
        <f t="shared" si="16"/>
        <v>-1.1065648437162078E-2</v>
      </c>
      <c r="O81" s="41">
        <v>68.419998000000007</v>
      </c>
      <c r="P81" s="37">
        <f t="shared" si="17"/>
        <v>2.6377491980584E-3</v>
      </c>
    </row>
    <row r="82" spans="2:16" x14ac:dyDescent="0.45">
      <c r="B82" s="39">
        <v>42198</v>
      </c>
      <c r="C82" s="41">
        <v>62.939999</v>
      </c>
      <c r="D82" s="37">
        <f t="shared" si="11"/>
        <v>-9.5239682539682141E-4</v>
      </c>
      <c r="E82" s="41">
        <v>118.860001</v>
      </c>
      <c r="F82" s="37">
        <f t="shared" si="12"/>
        <v>2.0783227056282511E-2</v>
      </c>
      <c r="G82" s="41">
        <v>84.690002000000007</v>
      </c>
      <c r="H82" s="37">
        <f t="shared" si="13"/>
        <v>9.2956496581743236E-3</v>
      </c>
      <c r="I82" s="41">
        <v>23.799999</v>
      </c>
      <c r="J82" s="37">
        <f t="shared" si="14"/>
        <v>-6.2631312624997649E-3</v>
      </c>
      <c r="K82" s="41">
        <v>46.619999</v>
      </c>
      <c r="L82" s="37">
        <f t="shared" si="15"/>
        <v>4.5057116228264672E-2</v>
      </c>
      <c r="M82" s="41">
        <v>82.610000999999997</v>
      </c>
      <c r="N82" s="37">
        <f t="shared" si="16"/>
        <v>4.7433713847802143E-3</v>
      </c>
      <c r="O82" s="41">
        <v>70.879997000000003</v>
      </c>
      <c r="P82" s="37">
        <f t="shared" si="17"/>
        <v>3.5954385733831737E-2</v>
      </c>
    </row>
    <row r="83" spans="2:16" x14ac:dyDescent="0.45">
      <c r="B83" s="39">
        <v>42205</v>
      </c>
      <c r="C83" s="41">
        <v>61.240001999999997</v>
      </c>
      <c r="D83" s="37">
        <f t="shared" si="11"/>
        <v>-2.7009803416107512E-2</v>
      </c>
      <c r="E83" s="41">
        <v>118.910004</v>
      </c>
      <c r="F83" s="37">
        <f t="shared" si="12"/>
        <v>4.2068820107113913E-4</v>
      </c>
      <c r="G83" s="41">
        <v>80.209998999999996</v>
      </c>
      <c r="H83" s="37">
        <f t="shared" si="13"/>
        <v>-5.2898841589353256E-2</v>
      </c>
      <c r="I83" s="41">
        <v>23.799999</v>
      </c>
      <c r="J83" s="37">
        <f t="shared" si="14"/>
        <v>0</v>
      </c>
      <c r="K83" s="41">
        <v>45.939999</v>
      </c>
      <c r="L83" s="37">
        <f t="shared" si="15"/>
        <v>-1.4586014898884912E-2</v>
      </c>
      <c r="M83" s="41">
        <v>79.940002000000007</v>
      </c>
      <c r="N83" s="37">
        <f t="shared" si="16"/>
        <v>-3.2320529810912241E-2</v>
      </c>
      <c r="O83" s="41">
        <v>74.800003000000004</v>
      </c>
      <c r="P83" s="37">
        <f t="shared" si="17"/>
        <v>5.530482739721336E-2</v>
      </c>
    </row>
    <row r="84" spans="2:16" x14ac:dyDescent="0.45">
      <c r="B84" s="39">
        <v>42212</v>
      </c>
      <c r="C84" s="41">
        <v>62.860000999999997</v>
      </c>
      <c r="D84" s="37">
        <f t="shared" si="11"/>
        <v>2.6453281304595646E-2</v>
      </c>
      <c r="E84" s="41">
        <v>120</v>
      </c>
      <c r="F84" s="37">
        <f t="shared" si="12"/>
        <v>9.1665626384134953E-3</v>
      </c>
      <c r="G84" s="41">
        <v>81.849997999999999</v>
      </c>
      <c r="H84" s="37">
        <f t="shared" si="13"/>
        <v>2.0446316175617995E-2</v>
      </c>
      <c r="I84" s="41">
        <v>23.77</v>
      </c>
      <c r="J84" s="37">
        <f t="shared" si="14"/>
        <v>-1.2604622378345524E-3</v>
      </c>
      <c r="K84" s="41">
        <v>46.700001</v>
      </c>
      <c r="L84" s="37">
        <f t="shared" si="15"/>
        <v>1.6543361265636946E-2</v>
      </c>
      <c r="M84" s="41">
        <v>79.209998999999996</v>
      </c>
      <c r="N84" s="37">
        <f t="shared" si="16"/>
        <v>-9.1318861863427352E-3</v>
      </c>
      <c r="O84" s="41">
        <v>75.339995999999999</v>
      </c>
      <c r="P84" s="37">
        <f t="shared" si="17"/>
        <v>7.2191574644722336E-3</v>
      </c>
    </row>
    <row r="85" spans="2:16" x14ac:dyDescent="0.45">
      <c r="B85" s="39">
        <v>42219</v>
      </c>
      <c r="C85" s="41">
        <v>62.369999</v>
      </c>
      <c r="D85" s="37">
        <f t="shared" si="11"/>
        <v>-7.7951319154448782E-3</v>
      </c>
      <c r="E85" s="41">
        <v>109.349998</v>
      </c>
      <c r="F85" s="37">
        <f t="shared" si="12"/>
        <v>-8.8750016666666667E-2</v>
      </c>
      <c r="G85" s="41">
        <v>78.980002999999996</v>
      </c>
      <c r="H85" s="37">
        <f t="shared" si="13"/>
        <v>-3.5064081492097325E-2</v>
      </c>
      <c r="I85" s="41">
        <v>23.879999000000002</v>
      </c>
      <c r="J85" s="37">
        <f t="shared" si="14"/>
        <v>4.6276398822045414E-3</v>
      </c>
      <c r="K85" s="41">
        <v>46.740001999999997</v>
      </c>
      <c r="L85" s="37">
        <f t="shared" si="15"/>
        <v>8.5655244418510017E-4</v>
      </c>
      <c r="M85" s="41">
        <v>76.830001999999993</v>
      </c>
      <c r="N85" s="37">
        <f t="shared" si="16"/>
        <v>-3.0046673779152593E-2</v>
      </c>
      <c r="O85" s="41">
        <v>74.209998999999996</v>
      </c>
      <c r="P85" s="37">
        <f t="shared" si="17"/>
        <v>-1.4998633660665485E-2</v>
      </c>
    </row>
    <row r="86" spans="2:16" x14ac:dyDescent="0.45">
      <c r="B86" s="39">
        <v>42226</v>
      </c>
      <c r="C86" s="41">
        <v>65.169998000000007</v>
      </c>
      <c r="D86" s="37">
        <f t="shared" si="11"/>
        <v>4.4893362913153274E-2</v>
      </c>
      <c r="E86" s="41">
        <v>107.160004</v>
      </c>
      <c r="F86" s="37">
        <f t="shared" si="12"/>
        <v>-2.0027380338863827E-2</v>
      </c>
      <c r="G86" s="41">
        <v>79.349997999999999</v>
      </c>
      <c r="H86" s="37">
        <f t="shared" si="13"/>
        <v>4.6846668263611354E-3</v>
      </c>
      <c r="I86" s="41">
        <v>25</v>
      </c>
      <c r="J86" s="37">
        <f t="shared" si="14"/>
        <v>4.6901216369397605E-2</v>
      </c>
      <c r="K86" s="41">
        <v>47</v>
      </c>
      <c r="L86" s="37">
        <f t="shared" si="15"/>
        <v>5.5626441778929125E-3</v>
      </c>
      <c r="M86" s="41">
        <v>78.360000999999997</v>
      </c>
      <c r="N86" s="37">
        <f t="shared" si="16"/>
        <v>1.9914082522085628E-2</v>
      </c>
      <c r="O86" s="41">
        <v>74.220000999999996</v>
      </c>
      <c r="P86" s="37">
        <f t="shared" si="17"/>
        <v>1.3477968110469949E-4</v>
      </c>
    </row>
    <row r="87" spans="2:16" x14ac:dyDescent="0.45">
      <c r="B87" s="39">
        <v>42233</v>
      </c>
      <c r="C87" s="41">
        <v>61.950001</v>
      </c>
      <c r="D87" s="37">
        <f t="shared" si="11"/>
        <v>-4.9409192862028418E-2</v>
      </c>
      <c r="E87" s="41">
        <v>98.839995999999999</v>
      </c>
      <c r="F87" s="37">
        <f t="shared" si="12"/>
        <v>-7.7640982544196255E-2</v>
      </c>
      <c r="G87" s="41">
        <v>78.400002000000001</v>
      </c>
      <c r="H87" s="37">
        <f t="shared" si="13"/>
        <v>-1.1972224624378677E-2</v>
      </c>
      <c r="I87" s="41">
        <v>25.389999</v>
      </c>
      <c r="J87" s="37">
        <f t="shared" si="14"/>
        <v>1.5599959999999982E-2</v>
      </c>
      <c r="K87" s="41">
        <v>43.07</v>
      </c>
      <c r="L87" s="37">
        <f t="shared" si="15"/>
        <v>-8.3617021276595732E-2</v>
      </c>
      <c r="M87" s="41">
        <v>72.129997000000003</v>
      </c>
      <c r="N87" s="37">
        <f t="shared" si="16"/>
        <v>-7.9504899444807237E-2</v>
      </c>
      <c r="O87" s="41">
        <v>71.190002000000007</v>
      </c>
      <c r="P87" s="37">
        <f t="shared" si="17"/>
        <v>-4.0824561562589977E-2</v>
      </c>
    </row>
    <row r="88" spans="2:16" x14ac:dyDescent="0.45">
      <c r="B88" s="39">
        <v>42240</v>
      </c>
      <c r="C88" s="41">
        <v>63.169998</v>
      </c>
      <c r="D88" s="37">
        <f t="shared" si="11"/>
        <v>1.9693252305193656E-2</v>
      </c>
      <c r="E88" s="41">
        <v>102.480003</v>
      </c>
      <c r="F88" s="37">
        <f t="shared" si="12"/>
        <v>3.6827267779330923E-2</v>
      </c>
      <c r="G88" s="41">
        <v>78.029999000000004</v>
      </c>
      <c r="H88" s="37">
        <f t="shared" si="13"/>
        <v>-4.7194259000146064E-3</v>
      </c>
      <c r="I88" s="41">
        <v>25.83</v>
      </c>
      <c r="J88" s="37">
        <f t="shared" si="14"/>
        <v>1.7329697413536675E-2</v>
      </c>
      <c r="K88" s="41">
        <v>43.93</v>
      </c>
      <c r="L88" s="37">
        <f t="shared" si="15"/>
        <v>1.9967494775946122E-2</v>
      </c>
      <c r="M88" s="41">
        <v>75.069999999999993</v>
      </c>
      <c r="N88" s="37">
        <f t="shared" si="16"/>
        <v>4.0759782646323829E-2</v>
      </c>
      <c r="O88" s="41">
        <v>72.459998999999996</v>
      </c>
      <c r="P88" s="37">
        <f t="shared" si="17"/>
        <v>1.7839541569334261E-2</v>
      </c>
    </row>
    <row r="89" spans="2:16" x14ac:dyDescent="0.45">
      <c r="B89" s="39">
        <v>42247</v>
      </c>
      <c r="C89" s="41">
        <v>65.680000000000007</v>
      </c>
      <c r="D89" s="37">
        <f t="shared" si="11"/>
        <v>3.9734083892166774E-2</v>
      </c>
      <c r="E89" s="41">
        <v>100.970001</v>
      </c>
      <c r="F89" s="37">
        <f t="shared" si="12"/>
        <v>-1.4734601442195509E-2</v>
      </c>
      <c r="G89" s="41">
        <v>76.419998000000007</v>
      </c>
      <c r="H89" s="37">
        <f t="shared" si="13"/>
        <v>-2.0633102917251053E-2</v>
      </c>
      <c r="I89" s="41">
        <v>27.030000999999999</v>
      </c>
      <c r="J89" s="37">
        <f t="shared" si="14"/>
        <v>4.6457646147890067E-2</v>
      </c>
      <c r="K89" s="41">
        <v>42.610000999999997</v>
      </c>
      <c r="L89" s="37">
        <f t="shared" si="15"/>
        <v>-3.0047780559981852E-2</v>
      </c>
      <c r="M89" s="41">
        <v>72.459998999999996</v>
      </c>
      <c r="N89" s="37">
        <f t="shared" si="16"/>
        <v>-3.4767563607299816E-2</v>
      </c>
      <c r="O89" s="41">
        <v>69.160004000000001</v>
      </c>
      <c r="P89" s="37">
        <f t="shared" si="17"/>
        <v>-4.5542299828074742E-2</v>
      </c>
    </row>
    <row r="90" spans="2:16" x14ac:dyDescent="0.45">
      <c r="B90" s="39">
        <v>42254</v>
      </c>
      <c r="C90" s="41">
        <v>54.009998000000003</v>
      </c>
      <c r="D90" s="37">
        <f t="shared" si="11"/>
        <v>-0.17767968940316692</v>
      </c>
      <c r="E90" s="41">
        <v>104.480003</v>
      </c>
      <c r="F90" s="37">
        <f t="shared" si="12"/>
        <v>3.4762820295505398E-2</v>
      </c>
      <c r="G90" s="41">
        <v>77.879997000000003</v>
      </c>
      <c r="H90" s="37">
        <f t="shared" si="13"/>
        <v>1.910493376354179E-2</v>
      </c>
      <c r="I90" s="41">
        <v>28.309999000000001</v>
      </c>
      <c r="J90" s="37">
        <f t="shared" si="14"/>
        <v>4.7354715229200421E-2</v>
      </c>
      <c r="K90" s="41">
        <v>43.48</v>
      </c>
      <c r="L90" s="37">
        <f t="shared" si="15"/>
        <v>2.0417718366164791E-2</v>
      </c>
      <c r="M90" s="41">
        <v>72.690002000000007</v>
      </c>
      <c r="N90" s="37">
        <f t="shared" si="16"/>
        <v>3.1742065025423287E-3</v>
      </c>
      <c r="O90" s="41">
        <v>70.760002</v>
      </c>
      <c r="P90" s="37">
        <f t="shared" si="17"/>
        <v>2.3134729720374211E-2</v>
      </c>
    </row>
    <row r="91" spans="2:16" x14ac:dyDescent="0.45">
      <c r="B91" s="39">
        <v>42261</v>
      </c>
      <c r="C91" s="41">
        <v>52.91</v>
      </c>
      <c r="D91" s="37">
        <f t="shared" si="11"/>
        <v>-2.0366562502002063E-2</v>
      </c>
      <c r="E91" s="41">
        <v>102.839996</v>
      </c>
      <c r="F91" s="37">
        <f t="shared" si="12"/>
        <v>-1.5696850621261919E-2</v>
      </c>
      <c r="G91" s="41">
        <v>76.620002999999997</v>
      </c>
      <c r="H91" s="37">
        <f t="shared" si="13"/>
        <v>-1.617866009933213E-2</v>
      </c>
      <c r="I91" s="41">
        <v>27.879999000000002</v>
      </c>
      <c r="J91" s="37">
        <f t="shared" si="14"/>
        <v>-1.5188979695831134E-2</v>
      </c>
      <c r="K91" s="41">
        <v>43.48</v>
      </c>
      <c r="L91" s="37">
        <f t="shared" si="15"/>
        <v>0</v>
      </c>
      <c r="M91" s="41">
        <v>72.680000000000007</v>
      </c>
      <c r="N91" s="37">
        <f t="shared" si="16"/>
        <v>-1.375980151988449E-4</v>
      </c>
      <c r="O91" s="41">
        <v>69.790001000000004</v>
      </c>
      <c r="P91" s="37">
        <f t="shared" si="17"/>
        <v>-1.3708323524354851E-2</v>
      </c>
    </row>
    <row r="92" spans="2:16" x14ac:dyDescent="0.45">
      <c r="B92" s="39">
        <v>42268</v>
      </c>
      <c r="C92" s="41">
        <v>52.580002</v>
      </c>
      <c r="D92" s="37">
        <f t="shared" si="11"/>
        <v>-6.2369684369683659E-3</v>
      </c>
      <c r="E92" s="41">
        <v>100.300003</v>
      </c>
      <c r="F92" s="37">
        <f t="shared" si="12"/>
        <v>-2.4698493765013329E-2</v>
      </c>
      <c r="G92" s="41">
        <v>79.050003000000004</v>
      </c>
      <c r="H92" s="37">
        <f t="shared" si="13"/>
        <v>3.1714955688529625E-2</v>
      </c>
      <c r="I92" s="41">
        <v>28.219999000000001</v>
      </c>
      <c r="J92" s="37">
        <f t="shared" si="14"/>
        <v>1.2195122388634226E-2</v>
      </c>
      <c r="K92" s="41">
        <v>43.939999</v>
      </c>
      <c r="L92" s="37">
        <f t="shared" si="15"/>
        <v>1.0579553817847365E-2</v>
      </c>
      <c r="M92" s="41">
        <v>73.230002999999996</v>
      </c>
      <c r="N92" s="37">
        <f t="shared" si="16"/>
        <v>7.5674600990642479E-3</v>
      </c>
      <c r="O92" s="41">
        <v>70.690002000000007</v>
      </c>
      <c r="P92" s="37">
        <f t="shared" si="17"/>
        <v>1.2895844492107159E-2</v>
      </c>
    </row>
    <row r="93" spans="2:16" x14ac:dyDescent="0.45">
      <c r="B93" s="39">
        <v>42275</v>
      </c>
      <c r="C93" s="41">
        <v>51.119999</v>
      </c>
      <c r="D93" s="37">
        <f t="shared" si="11"/>
        <v>-2.7767267867353836E-2</v>
      </c>
      <c r="E93" s="41">
        <v>103</v>
      </c>
      <c r="F93" s="37">
        <f t="shared" si="12"/>
        <v>2.6919211557750362E-2</v>
      </c>
      <c r="G93" s="41">
        <v>79.529999000000004</v>
      </c>
      <c r="H93" s="37">
        <f t="shared" si="13"/>
        <v>6.0720554305355289E-3</v>
      </c>
      <c r="I93" s="41">
        <v>30.75</v>
      </c>
      <c r="J93" s="37">
        <f t="shared" si="14"/>
        <v>8.9652767174088085E-2</v>
      </c>
      <c r="K93" s="41">
        <v>45.57</v>
      </c>
      <c r="L93" s="37">
        <f t="shared" si="15"/>
        <v>3.7096063657170317E-2</v>
      </c>
      <c r="M93" s="41">
        <v>75.879997000000003</v>
      </c>
      <c r="N93" s="37">
        <f t="shared" si="16"/>
        <v>3.618727149307923E-2</v>
      </c>
      <c r="O93" s="41">
        <v>70.669998000000007</v>
      </c>
      <c r="P93" s="37">
        <f t="shared" si="17"/>
        <v>-2.8298202622769952E-4</v>
      </c>
    </row>
    <row r="94" spans="2:16" x14ac:dyDescent="0.45">
      <c r="B94" s="39">
        <v>42282</v>
      </c>
      <c r="C94" s="41">
        <v>52.75</v>
      </c>
      <c r="D94" s="37">
        <f t="shared" si="11"/>
        <v>3.1885779183994115E-2</v>
      </c>
      <c r="E94" s="41">
        <v>105.55999799999999</v>
      </c>
      <c r="F94" s="37">
        <f t="shared" si="12"/>
        <v>2.4854349514563039E-2</v>
      </c>
      <c r="G94" s="41">
        <v>78.879997000000003</v>
      </c>
      <c r="H94" s="37">
        <f t="shared" si="13"/>
        <v>-8.1730417222814333E-3</v>
      </c>
      <c r="I94" s="41">
        <v>33.970001000000003</v>
      </c>
      <c r="J94" s="37">
        <f t="shared" si="14"/>
        <v>0.10471547967479686</v>
      </c>
      <c r="K94" s="41">
        <v>47.110000999999997</v>
      </c>
      <c r="L94" s="37">
        <f t="shared" si="15"/>
        <v>3.3794184770682391E-2</v>
      </c>
      <c r="M94" s="41">
        <v>79.260002</v>
      </c>
      <c r="N94" s="37">
        <f t="shared" si="16"/>
        <v>4.454408452335596E-2</v>
      </c>
      <c r="O94" s="41">
        <v>73.980002999999996</v>
      </c>
      <c r="P94" s="37">
        <f t="shared" si="17"/>
        <v>4.6837485406466109E-2</v>
      </c>
    </row>
    <row r="95" spans="2:16" x14ac:dyDescent="0.45">
      <c r="B95" s="39">
        <v>42289</v>
      </c>
      <c r="C95" s="41">
        <v>53.810001</v>
      </c>
      <c r="D95" s="37">
        <f t="shared" si="11"/>
        <v>2.0094805687203787E-2</v>
      </c>
      <c r="E95" s="41">
        <v>108.239998</v>
      </c>
      <c r="F95" s="37">
        <f t="shared" si="12"/>
        <v>2.5388405179772807E-2</v>
      </c>
      <c r="G95" s="41">
        <v>75.050003000000004</v>
      </c>
      <c r="H95" s="37">
        <f t="shared" si="13"/>
        <v>-4.8554692516025309E-2</v>
      </c>
      <c r="I95" s="41">
        <v>34.220001000000003</v>
      </c>
      <c r="J95" s="37">
        <f t="shared" si="14"/>
        <v>7.3594345787625966E-3</v>
      </c>
      <c r="K95" s="41">
        <v>47.509998000000003</v>
      </c>
      <c r="L95" s="37">
        <f t="shared" si="15"/>
        <v>8.4907024306793404E-3</v>
      </c>
      <c r="M95" s="41">
        <v>82.480002999999996</v>
      </c>
      <c r="N95" s="37">
        <f t="shared" si="16"/>
        <v>4.062580013560934E-2</v>
      </c>
      <c r="O95" s="41">
        <v>76</v>
      </c>
      <c r="P95" s="37">
        <f t="shared" si="17"/>
        <v>2.7304635280969151E-2</v>
      </c>
    </row>
    <row r="96" spans="2:16" x14ac:dyDescent="0.45">
      <c r="B96" s="39">
        <v>42296</v>
      </c>
      <c r="C96" s="41">
        <v>48.490001999999997</v>
      </c>
      <c r="D96" s="37">
        <f t="shared" si="11"/>
        <v>-9.8866361292206675E-2</v>
      </c>
      <c r="E96" s="41">
        <v>113.089996</v>
      </c>
      <c r="F96" s="37">
        <f t="shared" si="12"/>
        <v>4.4807816792457808E-2</v>
      </c>
      <c r="G96" s="41">
        <v>72.940002000000007</v>
      </c>
      <c r="H96" s="37">
        <f t="shared" si="13"/>
        <v>-2.8114602473766681E-2</v>
      </c>
      <c r="I96" s="41">
        <v>36.279998999999997</v>
      </c>
      <c r="J96" s="37">
        <f t="shared" si="14"/>
        <v>6.0198653997701315E-2</v>
      </c>
      <c r="K96" s="41">
        <v>52.869999</v>
      </c>
      <c r="L96" s="37">
        <f t="shared" si="15"/>
        <v>0.11281837982817841</v>
      </c>
      <c r="M96" s="41">
        <v>82.980002999999996</v>
      </c>
      <c r="N96" s="37">
        <f t="shared" si="16"/>
        <v>6.0620754342116112E-3</v>
      </c>
      <c r="O96" s="41">
        <v>77.069999999999993</v>
      </c>
      <c r="P96" s="37">
        <f t="shared" si="17"/>
        <v>1.4078947368420964E-2</v>
      </c>
    </row>
    <row r="97" spans="2:16" x14ac:dyDescent="0.45">
      <c r="B97" s="39">
        <v>42303</v>
      </c>
      <c r="C97" s="41">
        <v>49.169998</v>
      </c>
      <c r="D97" s="37">
        <f t="shared" si="11"/>
        <v>1.4023426932422126E-2</v>
      </c>
      <c r="E97" s="41">
        <v>113.739998</v>
      </c>
      <c r="F97" s="37">
        <f t="shared" si="12"/>
        <v>5.7476525156124388E-3</v>
      </c>
      <c r="G97" s="41">
        <v>77.180000000000007</v>
      </c>
      <c r="H97" s="37">
        <f t="shared" si="13"/>
        <v>5.8129940824514913E-2</v>
      </c>
      <c r="I97" s="41">
        <v>37.639999000000003</v>
      </c>
      <c r="J97" s="37">
        <f t="shared" si="14"/>
        <v>3.7486219335342505E-2</v>
      </c>
      <c r="K97" s="41">
        <v>52.639999000000003</v>
      </c>
      <c r="L97" s="37">
        <f t="shared" si="15"/>
        <v>-4.3502932542139232E-3</v>
      </c>
      <c r="M97" s="41">
        <v>82.739998</v>
      </c>
      <c r="N97" s="37">
        <f t="shared" si="16"/>
        <v>-2.8923233468670334E-3</v>
      </c>
      <c r="O97" s="41">
        <v>77.580001999999993</v>
      </c>
      <c r="P97" s="37">
        <f t="shared" si="17"/>
        <v>6.6173867912287547E-3</v>
      </c>
    </row>
    <row r="98" spans="2:16" x14ac:dyDescent="0.45">
      <c r="B98" s="39">
        <v>42310</v>
      </c>
      <c r="C98" s="41">
        <v>51.060001</v>
      </c>
      <c r="D98" s="37">
        <f t="shared" si="11"/>
        <v>3.8438134571410806E-2</v>
      </c>
      <c r="E98" s="41">
        <v>115.66999800000001</v>
      </c>
      <c r="F98" s="37">
        <f t="shared" si="12"/>
        <v>1.6968525003842595E-2</v>
      </c>
      <c r="G98" s="41">
        <v>77.220000999999996</v>
      </c>
      <c r="H98" s="37">
        <f t="shared" si="13"/>
        <v>5.1828193832585527E-4</v>
      </c>
      <c r="I98" s="41">
        <v>36.759998000000003</v>
      </c>
      <c r="J98" s="37">
        <f t="shared" si="14"/>
        <v>-2.337941082304492E-2</v>
      </c>
      <c r="K98" s="41">
        <v>54.919998</v>
      </c>
      <c r="L98" s="37">
        <f t="shared" si="15"/>
        <v>4.3313051734670364E-2</v>
      </c>
      <c r="M98" s="41">
        <v>84.470000999999996</v>
      </c>
      <c r="N98" s="37">
        <f t="shared" si="16"/>
        <v>2.0908907926248638E-2</v>
      </c>
      <c r="O98" s="41">
        <v>78.75</v>
      </c>
      <c r="P98" s="37">
        <f t="shared" si="17"/>
        <v>1.5081180327889226E-2</v>
      </c>
    </row>
    <row r="99" spans="2:16" x14ac:dyDescent="0.45">
      <c r="B99" s="39">
        <v>42317</v>
      </c>
      <c r="C99" s="41">
        <v>45.049999</v>
      </c>
      <c r="D99" s="37">
        <f t="shared" si="11"/>
        <v>-0.11770469804730321</v>
      </c>
      <c r="E99" s="41">
        <v>114.839996</v>
      </c>
      <c r="F99" s="37">
        <f t="shared" si="12"/>
        <v>-7.175603132629149E-3</v>
      </c>
      <c r="G99" s="41">
        <v>71.889999000000003</v>
      </c>
      <c r="H99" s="37">
        <f t="shared" si="13"/>
        <v>-6.90235940297384E-2</v>
      </c>
      <c r="I99" s="41">
        <v>35.939999</v>
      </c>
      <c r="J99" s="37">
        <f t="shared" si="14"/>
        <v>-2.2306829287640405E-2</v>
      </c>
      <c r="K99" s="41">
        <v>52.84</v>
      </c>
      <c r="L99" s="37">
        <f t="shared" si="15"/>
        <v>-3.787323517382496E-2</v>
      </c>
      <c r="M99" s="41">
        <v>78.099997999999999</v>
      </c>
      <c r="N99" s="37">
        <f t="shared" si="16"/>
        <v>-7.5411423281503187E-2</v>
      </c>
      <c r="O99" s="41">
        <v>78.110000999999997</v>
      </c>
      <c r="P99" s="37">
        <f t="shared" si="17"/>
        <v>-8.1269714285714684E-3</v>
      </c>
    </row>
    <row r="100" spans="2:16" x14ac:dyDescent="0.45">
      <c r="B100" s="39">
        <v>42324</v>
      </c>
      <c r="C100" s="41">
        <v>49.279998999999997</v>
      </c>
      <c r="D100" s="37">
        <f t="shared" si="11"/>
        <v>9.3895673560392245E-2</v>
      </c>
      <c r="E100" s="41">
        <v>120.07</v>
      </c>
      <c r="F100" s="37">
        <f t="shared" si="12"/>
        <v>4.5541659545163989E-2</v>
      </c>
      <c r="G100" s="41">
        <v>70.830001999999993</v>
      </c>
      <c r="H100" s="37">
        <f t="shared" si="13"/>
        <v>-1.4744707396643722E-2</v>
      </c>
      <c r="I100" s="41">
        <v>36.529998999999997</v>
      </c>
      <c r="J100" s="37">
        <f t="shared" si="14"/>
        <v>1.641624976116433E-2</v>
      </c>
      <c r="K100" s="41">
        <v>54.189999</v>
      </c>
      <c r="L100" s="37">
        <f t="shared" si="15"/>
        <v>2.5548807721423102E-2</v>
      </c>
      <c r="M100" s="41">
        <v>79.790001000000004</v>
      </c>
      <c r="N100" s="37">
        <f t="shared" si="16"/>
        <v>2.163896342225264E-2</v>
      </c>
      <c r="O100" s="41">
        <v>80.190002000000007</v>
      </c>
      <c r="P100" s="37">
        <f t="shared" si="17"/>
        <v>2.6629125251195554E-2</v>
      </c>
    </row>
    <row r="101" spans="2:16" x14ac:dyDescent="0.45">
      <c r="B101" s="39">
        <v>42331</v>
      </c>
      <c r="C101" s="41">
        <v>52.5</v>
      </c>
      <c r="D101" s="37">
        <f t="shared" si="11"/>
        <v>6.5340930709028702E-2</v>
      </c>
      <c r="E101" s="41">
        <v>115.129997</v>
      </c>
      <c r="F101" s="37">
        <f t="shared" si="12"/>
        <v>-4.114269176313809E-2</v>
      </c>
      <c r="G101" s="41">
        <v>73.440002000000007</v>
      </c>
      <c r="H101" s="37">
        <f t="shared" si="13"/>
        <v>3.6848791843885786E-2</v>
      </c>
      <c r="I101" s="41">
        <v>38.380001</v>
      </c>
      <c r="J101" s="37">
        <f t="shared" si="14"/>
        <v>5.0643363006935851E-2</v>
      </c>
      <c r="K101" s="41">
        <v>53.93</v>
      </c>
      <c r="L101" s="37">
        <f t="shared" si="15"/>
        <v>-4.7979148329565487E-3</v>
      </c>
      <c r="M101" s="41">
        <v>81.230002999999996</v>
      </c>
      <c r="N101" s="37">
        <f t="shared" si="16"/>
        <v>1.8047399197300331E-2</v>
      </c>
      <c r="O101" s="41">
        <v>79.839995999999999</v>
      </c>
      <c r="P101" s="37">
        <f t="shared" si="17"/>
        <v>-4.3647087077015858E-3</v>
      </c>
    </row>
    <row r="102" spans="2:16" x14ac:dyDescent="0.45">
      <c r="B102" s="39">
        <v>42338</v>
      </c>
      <c r="C102" s="41">
        <v>49.18</v>
      </c>
      <c r="D102" s="37">
        <f t="shared" si="11"/>
        <v>-6.3238095238095246E-2</v>
      </c>
      <c r="E102" s="41">
        <v>114.239998</v>
      </c>
      <c r="F102" s="37">
        <f t="shared" si="12"/>
        <v>-7.730383246687682E-3</v>
      </c>
      <c r="G102" s="41">
        <v>73.900002000000001</v>
      </c>
      <c r="H102" s="37">
        <f t="shared" si="13"/>
        <v>6.2636163871563309E-3</v>
      </c>
      <c r="I102" s="41">
        <v>42.349997999999999</v>
      </c>
      <c r="J102" s="37">
        <f t="shared" si="14"/>
        <v>0.10343921043670633</v>
      </c>
      <c r="K102" s="41">
        <v>55.91</v>
      </c>
      <c r="L102" s="37">
        <f t="shared" si="15"/>
        <v>3.6714259224921136E-2</v>
      </c>
      <c r="M102" s="41">
        <v>78.860000999999997</v>
      </c>
      <c r="N102" s="37">
        <f t="shared" si="16"/>
        <v>-2.9176436199319106E-2</v>
      </c>
      <c r="O102" s="41">
        <v>80.400002000000001</v>
      </c>
      <c r="P102" s="37">
        <f t="shared" si="17"/>
        <v>7.0141035578208362E-3</v>
      </c>
    </row>
    <row r="103" spans="2:16" x14ac:dyDescent="0.45">
      <c r="B103" s="39">
        <v>42345</v>
      </c>
      <c r="C103" s="41">
        <v>46.119999</v>
      </c>
      <c r="D103" s="37">
        <f t="shared" si="11"/>
        <v>-6.2220435136234237E-2</v>
      </c>
      <c r="E103" s="41">
        <v>108.040001</v>
      </c>
      <c r="F103" s="37">
        <f t="shared" si="12"/>
        <v>-5.4271683373103667E-2</v>
      </c>
      <c r="G103" s="41">
        <v>71.839995999999999</v>
      </c>
      <c r="H103" s="37">
        <f t="shared" si="13"/>
        <v>-2.7875587878874501E-2</v>
      </c>
      <c r="I103" s="41">
        <v>45.810001</v>
      </c>
      <c r="J103" s="37">
        <f t="shared" si="14"/>
        <v>8.1700192760339699E-2</v>
      </c>
      <c r="K103" s="41">
        <v>54.060001</v>
      </c>
      <c r="L103" s="37">
        <f t="shared" si="15"/>
        <v>-3.3088874977642582E-2</v>
      </c>
      <c r="M103" s="41">
        <v>74.339995999999999</v>
      </c>
      <c r="N103" s="37">
        <f t="shared" si="16"/>
        <v>-5.7316826562048839E-2</v>
      </c>
      <c r="O103" s="41">
        <v>76.110000999999997</v>
      </c>
      <c r="P103" s="37">
        <f t="shared" si="17"/>
        <v>-5.3358220065715965E-2</v>
      </c>
    </row>
    <row r="104" spans="2:16" x14ac:dyDescent="0.45">
      <c r="B104" s="39">
        <v>42352</v>
      </c>
      <c r="C104" s="41">
        <v>50.259998000000003</v>
      </c>
      <c r="D104" s="37">
        <f t="shared" si="11"/>
        <v>8.9765808537853681E-2</v>
      </c>
      <c r="E104" s="41">
        <v>107.720001</v>
      </c>
      <c r="F104" s="37">
        <f t="shared" si="12"/>
        <v>-2.9618659481501428E-3</v>
      </c>
      <c r="G104" s="41">
        <v>71.370002999999997</v>
      </c>
      <c r="H104" s="37">
        <f t="shared" si="13"/>
        <v>-6.5422191838652435E-3</v>
      </c>
      <c r="I104" s="41">
        <v>43.84</v>
      </c>
      <c r="J104" s="37">
        <f t="shared" si="14"/>
        <v>-4.3003731870689031E-2</v>
      </c>
      <c r="K104" s="41">
        <v>54.130001</v>
      </c>
      <c r="L104" s="37">
        <f t="shared" si="15"/>
        <v>1.2948575417155519E-3</v>
      </c>
      <c r="M104" s="41">
        <v>77.279999000000004</v>
      </c>
      <c r="N104" s="37">
        <f t="shared" si="16"/>
        <v>3.954806508195137E-2</v>
      </c>
      <c r="O104" s="41">
        <v>76.319999999999993</v>
      </c>
      <c r="P104" s="37">
        <f t="shared" si="17"/>
        <v>2.7591511922328876E-3</v>
      </c>
    </row>
    <row r="105" spans="2:16" x14ac:dyDescent="0.45">
      <c r="B105" s="39">
        <v>42359</v>
      </c>
      <c r="C105" s="41">
        <v>53.189999</v>
      </c>
      <c r="D105" s="37">
        <f t="shared" si="11"/>
        <v>5.8296878563345686E-2</v>
      </c>
      <c r="E105" s="41">
        <v>105.860001</v>
      </c>
      <c r="F105" s="37">
        <f t="shared" si="12"/>
        <v>-1.7266988328379234E-2</v>
      </c>
      <c r="G105" s="41">
        <v>73.169998000000007</v>
      </c>
      <c r="H105" s="37">
        <f t="shared" si="13"/>
        <v>2.5220609840803983E-2</v>
      </c>
      <c r="I105" s="41">
        <v>46.400002000000001</v>
      </c>
      <c r="J105" s="37">
        <f t="shared" si="14"/>
        <v>5.8394206204379497E-2</v>
      </c>
      <c r="K105" s="41">
        <v>55.669998</v>
      </c>
      <c r="L105" s="37">
        <f t="shared" si="15"/>
        <v>2.8449971763348011E-2</v>
      </c>
      <c r="M105" s="41">
        <v>79.330001999999993</v>
      </c>
      <c r="N105" s="37">
        <f t="shared" si="16"/>
        <v>2.6526954277004966E-2</v>
      </c>
      <c r="O105" s="41">
        <v>78.260002</v>
      </c>
      <c r="P105" s="37">
        <f t="shared" si="17"/>
        <v>2.5419313417190868E-2</v>
      </c>
    </row>
    <row r="106" spans="2:16" x14ac:dyDescent="0.45">
      <c r="B106" s="39">
        <v>42366</v>
      </c>
      <c r="C106" s="41">
        <v>52.470001000000003</v>
      </c>
      <c r="D106" s="37">
        <f t="shared" si="11"/>
        <v>-1.353634167204998E-2</v>
      </c>
      <c r="E106" s="41">
        <v>105.08000199999999</v>
      </c>
      <c r="F106" s="37">
        <f t="shared" si="12"/>
        <v>-7.3682126641960236E-3</v>
      </c>
      <c r="G106" s="41">
        <v>72.610000999999997</v>
      </c>
      <c r="H106" s="37">
        <f t="shared" si="13"/>
        <v>-7.6533690762163173E-3</v>
      </c>
      <c r="I106" s="41">
        <v>45.439999</v>
      </c>
      <c r="J106" s="37">
        <f t="shared" si="14"/>
        <v>-2.0689718935787985E-2</v>
      </c>
      <c r="K106" s="41">
        <v>55.48</v>
      </c>
      <c r="L106" s="37">
        <f t="shared" si="15"/>
        <v>-3.4129334798970673E-3</v>
      </c>
      <c r="M106" s="41">
        <v>77.949996999999996</v>
      </c>
      <c r="N106" s="37">
        <f t="shared" si="16"/>
        <v>-1.7395751483782858E-2</v>
      </c>
      <c r="O106" s="41">
        <v>77.550003000000004</v>
      </c>
      <c r="P106" s="37">
        <f t="shared" si="17"/>
        <v>-9.0723100160410974E-3</v>
      </c>
    </row>
    <row r="107" spans="2:16" x14ac:dyDescent="0.45">
      <c r="B107" s="39">
        <v>42373</v>
      </c>
      <c r="C107" s="41">
        <v>53.91</v>
      </c>
      <c r="D107" s="37">
        <f t="shared" si="11"/>
        <v>2.7444234277792239E-2</v>
      </c>
      <c r="E107" s="41">
        <v>99.25</v>
      </c>
      <c r="F107" s="37">
        <f t="shared" si="12"/>
        <v>-5.5481555853034659E-2</v>
      </c>
      <c r="G107" s="41">
        <v>71.379997000000003</v>
      </c>
      <c r="H107" s="37">
        <f t="shared" si="13"/>
        <v>-1.6939870307948267E-2</v>
      </c>
      <c r="I107" s="41">
        <v>42.130001</v>
      </c>
      <c r="J107" s="37">
        <f t="shared" si="14"/>
        <v>-7.2843267448135296E-2</v>
      </c>
      <c r="K107" s="41">
        <v>52.330002</v>
      </c>
      <c r="L107" s="37">
        <f t="shared" si="15"/>
        <v>-5.6777180966113852E-2</v>
      </c>
      <c r="M107" s="41">
        <v>74.690002000000007</v>
      </c>
      <c r="N107" s="37">
        <f t="shared" si="16"/>
        <v>-4.1821618030337952E-2</v>
      </c>
      <c r="O107" s="41">
        <v>72.879997000000003</v>
      </c>
      <c r="P107" s="37">
        <f t="shared" si="17"/>
        <v>-6.0219288450575566E-2</v>
      </c>
    </row>
    <row r="108" spans="2:16" x14ac:dyDescent="0.45">
      <c r="B108" s="39">
        <v>42380</v>
      </c>
      <c r="C108" s="41">
        <v>55.709999000000003</v>
      </c>
      <c r="D108" s="37">
        <f t="shared" si="11"/>
        <v>3.3388963086625985E-2</v>
      </c>
      <c r="E108" s="41">
        <v>93.900002000000001</v>
      </c>
      <c r="F108" s="37">
        <f t="shared" si="12"/>
        <v>-5.3904261964735509E-2</v>
      </c>
      <c r="G108" s="41">
        <v>70.080001999999993</v>
      </c>
      <c r="H108" s="37">
        <f t="shared" si="13"/>
        <v>-1.8212315139212037E-2</v>
      </c>
      <c r="I108" s="41">
        <v>38.290000999999997</v>
      </c>
      <c r="J108" s="37">
        <f t="shared" si="14"/>
        <v>-9.1146449296310328E-2</v>
      </c>
      <c r="K108" s="41">
        <v>50.990001999999997</v>
      </c>
      <c r="L108" s="37">
        <f t="shared" si="15"/>
        <v>-2.5606725564428671E-2</v>
      </c>
      <c r="M108" s="41">
        <v>77.580001999999993</v>
      </c>
      <c r="N108" s="37">
        <f t="shared" si="16"/>
        <v>3.8693264461286077E-2</v>
      </c>
      <c r="O108" s="41">
        <v>71.830001999999993</v>
      </c>
      <c r="P108" s="37">
        <f t="shared" si="17"/>
        <v>-1.4407176773072723E-2</v>
      </c>
    </row>
    <row r="109" spans="2:16" x14ac:dyDescent="0.45">
      <c r="B109" s="39">
        <v>42387</v>
      </c>
      <c r="C109" s="41">
        <v>58.029998999999997</v>
      </c>
      <c r="D109" s="37">
        <f t="shared" si="11"/>
        <v>4.164422979077765E-2</v>
      </c>
      <c r="E109" s="41">
        <v>96.900002000000001</v>
      </c>
      <c r="F109" s="37">
        <f t="shared" si="12"/>
        <v>3.1948881108650032E-2</v>
      </c>
      <c r="G109" s="41">
        <v>69.720000999999996</v>
      </c>
      <c r="H109" s="37">
        <f t="shared" si="13"/>
        <v>-5.1370004241723189E-3</v>
      </c>
      <c r="I109" s="41">
        <v>41.240001999999997</v>
      </c>
      <c r="J109" s="37">
        <f t="shared" si="14"/>
        <v>7.7043638625133512E-2</v>
      </c>
      <c r="K109" s="41">
        <v>52.290000999999997</v>
      </c>
      <c r="L109" s="37">
        <f t="shared" si="15"/>
        <v>2.549517452460582E-2</v>
      </c>
      <c r="M109" s="41">
        <v>76.569999999999993</v>
      </c>
      <c r="N109" s="37">
        <f t="shared" si="16"/>
        <v>-1.3018844727536874E-2</v>
      </c>
      <c r="O109" s="41">
        <v>72.699996999999996</v>
      </c>
      <c r="P109" s="37">
        <f t="shared" si="17"/>
        <v>1.2111861002036489E-2</v>
      </c>
    </row>
    <row r="110" spans="2:16" x14ac:dyDescent="0.45">
      <c r="B110" s="39">
        <v>42394</v>
      </c>
      <c r="C110" s="41">
        <v>62.07</v>
      </c>
      <c r="D110" s="37">
        <f t="shared" si="11"/>
        <v>6.9619180934330255E-2</v>
      </c>
      <c r="E110" s="41">
        <v>95.82</v>
      </c>
      <c r="F110" s="37">
        <f t="shared" si="12"/>
        <v>-1.1145531245706346E-2</v>
      </c>
      <c r="G110" s="41">
        <v>72.419998000000007</v>
      </c>
      <c r="H110" s="37">
        <f t="shared" si="13"/>
        <v>3.8726290322342517E-2</v>
      </c>
      <c r="I110" s="41">
        <v>41.34</v>
      </c>
      <c r="J110" s="37">
        <f t="shared" si="14"/>
        <v>2.4247816476829095E-3</v>
      </c>
      <c r="K110" s="41">
        <v>55.09</v>
      </c>
      <c r="L110" s="37">
        <f t="shared" si="15"/>
        <v>5.3547503278877487E-2</v>
      </c>
      <c r="M110" s="41">
        <v>77.849997999999999</v>
      </c>
      <c r="N110" s="37">
        <f t="shared" si="16"/>
        <v>1.6716703669844669E-2</v>
      </c>
      <c r="O110" s="41">
        <v>74.489998</v>
      </c>
      <c r="P110" s="37">
        <f t="shared" si="17"/>
        <v>2.4621747921117574E-2</v>
      </c>
    </row>
    <row r="111" spans="2:16" x14ac:dyDescent="0.45">
      <c r="B111" s="39">
        <v>42401</v>
      </c>
      <c r="C111" s="41">
        <v>60.75</v>
      </c>
      <c r="D111" s="37">
        <f t="shared" si="11"/>
        <v>-2.1266312228129535E-2</v>
      </c>
      <c r="E111" s="41">
        <v>93.900002000000001</v>
      </c>
      <c r="F111" s="37">
        <f t="shared" si="12"/>
        <v>-2.0037549572114306E-2</v>
      </c>
      <c r="G111" s="41">
        <v>69.559997999999993</v>
      </c>
      <c r="H111" s="37">
        <f t="shared" si="13"/>
        <v>-3.9491854169893974E-2</v>
      </c>
      <c r="I111" s="41">
        <v>34.939999</v>
      </c>
      <c r="J111" s="37">
        <f t="shared" si="14"/>
        <v>-0.154813763909047</v>
      </c>
      <c r="K111" s="41">
        <v>50.16</v>
      </c>
      <c r="L111" s="37">
        <f t="shared" si="15"/>
        <v>-8.948992557632976E-2</v>
      </c>
      <c r="M111" s="41">
        <v>80.080001999999993</v>
      </c>
      <c r="N111" s="37">
        <f t="shared" si="16"/>
        <v>2.864488191765906E-2</v>
      </c>
      <c r="O111" s="41">
        <v>71.540001000000004</v>
      </c>
      <c r="P111" s="37">
        <f t="shared" si="17"/>
        <v>-3.9602592015105118E-2</v>
      </c>
    </row>
    <row r="112" spans="2:16" x14ac:dyDescent="0.45">
      <c r="B112" s="39">
        <v>42408</v>
      </c>
      <c r="C112" s="41">
        <v>58.84</v>
      </c>
      <c r="D112" s="37">
        <f t="shared" si="11"/>
        <v>-3.1440329218106938E-2</v>
      </c>
      <c r="E112" s="41">
        <v>91.150002000000001</v>
      </c>
      <c r="F112" s="37">
        <f t="shared" si="12"/>
        <v>-2.9286474349595859E-2</v>
      </c>
      <c r="G112" s="41">
        <v>69.949996999999996</v>
      </c>
      <c r="H112" s="37">
        <f t="shared" si="13"/>
        <v>5.606656285412819E-3</v>
      </c>
      <c r="I112" s="41">
        <v>35.060001</v>
      </c>
      <c r="J112" s="37">
        <f t="shared" si="14"/>
        <v>3.4345164119781312E-3</v>
      </c>
      <c r="K112" s="41">
        <v>50.5</v>
      </c>
      <c r="L112" s="37">
        <f t="shared" si="15"/>
        <v>6.7783094098884259E-3</v>
      </c>
      <c r="M112" s="41">
        <v>81.029999000000004</v>
      </c>
      <c r="N112" s="37">
        <f t="shared" si="16"/>
        <v>1.1863099104318335E-2</v>
      </c>
      <c r="O112" s="41">
        <v>70.419998000000007</v>
      </c>
      <c r="P112" s="37">
        <f t="shared" si="17"/>
        <v>-1.5655619015157645E-2</v>
      </c>
    </row>
    <row r="113" spans="2:16" x14ac:dyDescent="0.45">
      <c r="B113" s="39">
        <v>42415</v>
      </c>
      <c r="C113" s="41">
        <v>60.759998000000003</v>
      </c>
      <c r="D113" s="37">
        <f t="shared" si="11"/>
        <v>3.2630829367777017E-2</v>
      </c>
      <c r="E113" s="41">
        <v>95.010002</v>
      </c>
      <c r="F113" s="37">
        <f t="shared" si="12"/>
        <v>4.2347777458084962E-2</v>
      </c>
      <c r="G113" s="41">
        <v>72.319999999999993</v>
      </c>
      <c r="H113" s="37">
        <f t="shared" si="13"/>
        <v>3.3881388157886515E-2</v>
      </c>
      <c r="I113" s="41">
        <v>36.75</v>
      </c>
      <c r="J113" s="37">
        <f t="shared" si="14"/>
        <v>4.8203050536136618E-2</v>
      </c>
      <c r="K113" s="41">
        <v>51.82</v>
      </c>
      <c r="L113" s="37">
        <f t="shared" si="15"/>
        <v>2.6138613861386144E-2</v>
      </c>
      <c r="M113" s="41">
        <v>82.5</v>
      </c>
      <c r="N113" s="37">
        <f t="shared" si="16"/>
        <v>1.8141441665326892E-2</v>
      </c>
      <c r="O113" s="41">
        <v>71.529999000000004</v>
      </c>
      <c r="P113" s="37">
        <f t="shared" si="17"/>
        <v>1.5762582100612908E-2</v>
      </c>
    </row>
    <row r="114" spans="2:16" x14ac:dyDescent="0.45">
      <c r="B114" s="39">
        <v>42422</v>
      </c>
      <c r="C114" s="41">
        <v>61.560001</v>
      </c>
      <c r="D114" s="37">
        <f t="shared" si="11"/>
        <v>1.3166606753344473E-2</v>
      </c>
      <c r="E114" s="41">
        <v>95.309997999999993</v>
      </c>
      <c r="F114" s="37">
        <f t="shared" si="12"/>
        <v>3.1575201945579692E-3</v>
      </c>
      <c r="G114" s="41">
        <v>78.430000000000007</v>
      </c>
      <c r="H114" s="37">
        <f t="shared" si="13"/>
        <v>8.4485619469026746E-2</v>
      </c>
      <c r="I114" s="41">
        <v>38.189999</v>
      </c>
      <c r="J114" s="37">
        <f t="shared" si="14"/>
        <v>3.9183646258503409E-2</v>
      </c>
      <c r="K114" s="41">
        <v>51.299999</v>
      </c>
      <c r="L114" s="37">
        <f t="shared" si="15"/>
        <v>-1.0034754920879982E-2</v>
      </c>
      <c r="M114" s="41">
        <v>81.75</v>
      </c>
      <c r="N114" s="37">
        <f t="shared" si="16"/>
        <v>-9.0909090909090905E-3</v>
      </c>
      <c r="O114" s="41">
        <v>72.730002999999996</v>
      </c>
      <c r="P114" s="37">
        <f t="shared" si="17"/>
        <v>1.6776233982611865E-2</v>
      </c>
    </row>
    <row r="115" spans="2:16" x14ac:dyDescent="0.45">
      <c r="B115" s="39">
        <v>42429</v>
      </c>
      <c r="C115" s="41">
        <v>61.220001000000003</v>
      </c>
      <c r="D115" s="37">
        <f t="shared" si="11"/>
        <v>-5.5230668368572043E-3</v>
      </c>
      <c r="E115" s="41">
        <v>98.480002999999996</v>
      </c>
      <c r="F115" s="37">
        <f t="shared" si="12"/>
        <v>3.3259941942292384E-2</v>
      </c>
      <c r="G115" s="41">
        <v>81.129997000000003</v>
      </c>
      <c r="H115" s="37">
        <f t="shared" si="13"/>
        <v>3.4425564197373401E-2</v>
      </c>
      <c r="I115" s="41">
        <v>39.57</v>
      </c>
      <c r="J115" s="37">
        <f t="shared" si="14"/>
        <v>3.6135141035222335E-2</v>
      </c>
      <c r="K115" s="41">
        <v>52.029998999999997</v>
      </c>
      <c r="L115" s="37">
        <f t="shared" si="15"/>
        <v>1.4230019770565627E-2</v>
      </c>
      <c r="M115" s="41">
        <v>82.290001000000004</v>
      </c>
      <c r="N115" s="37">
        <f t="shared" si="16"/>
        <v>6.6055168195719108E-3</v>
      </c>
      <c r="O115" s="41">
        <v>73.900002000000001</v>
      </c>
      <c r="P115" s="37">
        <f t="shared" si="17"/>
        <v>1.608688232832885E-2</v>
      </c>
    </row>
    <row r="116" spans="2:16" x14ac:dyDescent="0.45">
      <c r="B116" s="39">
        <v>42436</v>
      </c>
      <c r="C116" s="41">
        <v>64.419998000000007</v>
      </c>
      <c r="D116" s="37">
        <f t="shared" si="11"/>
        <v>5.2270449979247846E-2</v>
      </c>
      <c r="E116" s="41">
        <v>97.940002000000007</v>
      </c>
      <c r="F116" s="37">
        <f t="shared" si="12"/>
        <v>-5.4833568597676581E-3</v>
      </c>
      <c r="G116" s="41">
        <v>81.870002999999997</v>
      </c>
      <c r="H116" s="37">
        <f t="shared" si="13"/>
        <v>9.1212378573118143E-3</v>
      </c>
      <c r="I116" s="41">
        <v>42.66</v>
      </c>
      <c r="J116" s="37">
        <f t="shared" si="14"/>
        <v>7.808946171341917E-2</v>
      </c>
      <c r="K116" s="41">
        <v>53.07</v>
      </c>
      <c r="L116" s="37">
        <f t="shared" si="15"/>
        <v>1.9988487795281406E-2</v>
      </c>
      <c r="M116" s="41">
        <v>82.190002000000007</v>
      </c>
      <c r="N116" s="37">
        <f t="shared" si="16"/>
        <v>-1.2152023184444588E-3</v>
      </c>
      <c r="O116" s="41">
        <v>71.629997000000003</v>
      </c>
      <c r="P116" s="37">
        <f t="shared" si="17"/>
        <v>-3.0717252213335496E-2</v>
      </c>
    </row>
    <row r="117" spans="2:16" x14ac:dyDescent="0.45">
      <c r="B117" s="39">
        <v>42443</v>
      </c>
      <c r="C117" s="41">
        <v>62.509998000000003</v>
      </c>
      <c r="D117" s="37">
        <f t="shared" si="11"/>
        <v>-2.9649178194634584E-2</v>
      </c>
      <c r="E117" s="41">
        <v>99.199996999999996</v>
      </c>
      <c r="F117" s="37">
        <f t="shared" si="12"/>
        <v>1.2864968085256822E-2</v>
      </c>
      <c r="G117" s="41">
        <v>82.709998999999996</v>
      </c>
      <c r="H117" s="37">
        <f t="shared" si="13"/>
        <v>1.0260119326000261E-2</v>
      </c>
      <c r="I117" s="41">
        <v>41.990001999999997</v>
      </c>
      <c r="J117" s="37">
        <f t="shared" si="14"/>
        <v>-1.5705532114392868E-2</v>
      </c>
      <c r="K117" s="41">
        <v>53.490001999999997</v>
      </c>
      <c r="L117" s="37">
        <f t="shared" si="15"/>
        <v>7.9141134350856727E-3</v>
      </c>
      <c r="M117" s="41">
        <v>84.199996999999996</v>
      </c>
      <c r="N117" s="37">
        <f t="shared" si="16"/>
        <v>2.4455468440066339E-2</v>
      </c>
      <c r="O117" s="41">
        <v>73.779999000000004</v>
      </c>
      <c r="P117" s="37">
        <f t="shared" si="17"/>
        <v>3.0015385872485804E-2</v>
      </c>
    </row>
    <row r="118" spans="2:16" x14ac:dyDescent="0.45">
      <c r="B118" s="39">
        <v>42450</v>
      </c>
      <c r="C118" s="41">
        <v>60.889999000000003</v>
      </c>
      <c r="D118" s="37">
        <f t="shared" si="11"/>
        <v>-2.5915838295179596E-2</v>
      </c>
      <c r="E118" s="41">
        <v>97.220000999999996</v>
      </c>
      <c r="F118" s="37">
        <f t="shared" si="12"/>
        <v>-1.9959637700392267E-2</v>
      </c>
      <c r="G118" s="41">
        <v>82.040001000000004</v>
      </c>
      <c r="H118" s="37">
        <f t="shared" si="13"/>
        <v>-8.1005683484531611E-3</v>
      </c>
      <c r="I118" s="41">
        <v>41.619999</v>
      </c>
      <c r="J118" s="37">
        <f t="shared" si="14"/>
        <v>-8.8116928405956498E-3</v>
      </c>
      <c r="K118" s="41">
        <v>54.209999000000003</v>
      </c>
      <c r="L118" s="37">
        <f t="shared" si="15"/>
        <v>1.3460403310510374E-2</v>
      </c>
      <c r="M118" s="41">
        <v>83.980002999999996</v>
      </c>
      <c r="N118" s="37">
        <f t="shared" si="16"/>
        <v>-2.6127554375090989E-3</v>
      </c>
      <c r="O118" s="41">
        <v>74.139999000000003</v>
      </c>
      <c r="P118" s="37">
        <f t="shared" si="17"/>
        <v>4.8793711694140769E-3</v>
      </c>
    </row>
    <row r="119" spans="2:16" x14ac:dyDescent="0.45">
      <c r="B119" s="39">
        <v>42457</v>
      </c>
      <c r="C119" s="41">
        <v>68.690002000000007</v>
      </c>
      <c r="D119" s="37">
        <f t="shared" si="11"/>
        <v>0.12809990356544435</v>
      </c>
      <c r="E119" s="41">
        <v>99.07</v>
      </c>
      <c r="F119" s="37">
        <f t="shared" si="12"/>
        <v>1.9028995895607911E-2</v>
      </c>
      <c r="G119" s="41">
        <v>82.760002</v>
      </c>
      <c r="H119" s="37">
        <f t="shared" si="13"/>
        <v>8.776218810626249E-3</v>
      </c>
      <c r="I119" s="41">
        <v>43.68</v>
      </c>
      <c r="J119" s="37">
        <f t="shared" si="14"/>
        <v>4.9495460103206629E-2</v>
      </c>
      <c r="K119" s="41">
        <v>55.57</v>
      </c>
      <c r="L119" s="37">
        <f t="shared" si="15"/>
        <v>2.508764111949157E-2</v>
      </c>
      <c r="M119" s="41">
        <v>82.959998999999996</v>
      </c>
      <c r="N119" s="37">
        <f t="shared" si="16"/>
        <v>-1.2145796184360701E-2</v>
      </c>
      <c r="O119" s="41">
        <v>77.589995999999999</v>
      </c>
      <c r="P119" s="37">
        <f t="shared" si="17"/>
        <v>4.6533545272909919E-2</v>
      </c>
    </row>
    <row r="120" spans="2:16" x14ac:dyDescent="0.45">
      <c r="B120" s="39">
        <v>42464</v>
      </c>
      <c r="C120" s="41">
        <v>63.75</v>
      </c>
      <c r="D120" s="37">
        <f t="shared" si="11"/>
        <v>-7.1917336674411608E-2</v>
      </c>
      <c r="E120" s="41">
        <v>96.419998000000007</v>
      </c>
      <c r="F120" s="37">
        <f t="shared" si="12"/>
        <v>-2.6748783688301067E-2</v>
      </c>
      <c r="G120" s="41">
        <v>80.879997000000003</v>
      </c>
      <c r="H120" s="37">
        <f t="shared" si="13"/>
        <v>-2.2716347928556081E-2</v>
      </c>
      <c r="I120" s="41">
        <v>45.220001000000003</v>
      </c>
      <c r="J120" s="37">
        <f t="shared" si="14"/>
        <v>3.5256433150183238E-2</v>
      </c>
      <c r="K120" s="41">
        <v>54.419998</v>
      </c>
      <c r="L120" s="37">
        <f t="shared" si="15"/>
        <v>-2.0694655389598717E-2</v>
      </c>
      <c r="M120" s="41">
        <v>83.209998999999996</v>
      </c>
      <c r="N120" s="37">
        <f t="shared" si="16"/>
        <v>3.0135005184848181E-3</v>
      </c>
      <c r="O120" s="41">
        <v>78.029999000000004</v>
      </c>
      <c r="P120" s="37">
        <f t="shared" si="17"/>
        <v>5.6708728274712681E-3</v>
      </c>
    </row>
    <row r="121" spans="2:16" x14ac:dyDescent="0.45">
      <c r="B121" s="39">
        <v>42471</v>
      </c>
      <c r="C121" s="41">
        <v>64.800003000000004</v>
      </c>
      <c r="D121" s="37">
        <f t="shared" si="11"/>
        <v>1.6470635294117707E-2</v>
      </c>
      <c r="E121" s="41">
        <v>98.589995999999999</v>
      </c>
      <c r="F121" s="37">
        <f t="shared" si="12"/>
        <v>2.2505683934986104E-2</v>
      </c>
      <c r="G121" s="41">
        <v>82.599997999999999</v>
      </c>
      <c r="H121" s="37">
        <f t="shared" si="13"/>
        <v>2.1266086347653996E-2</v>
      </c>
      <c r="I121" s="41">
        <v>44.860000999999997</v>
      </c>
      <c r="J121" s="37">
        <f t="shared" si="14"/>
        <v>-7.9610789924574859E-3</v>
      </c>
      <c r="K121" s="41">
        <v>55.650002000000001</v>
      </c>
      <c r="L121" s="37">
        <f t="shared" si="15"/>
        <v>2.2602058897539853E-2</v>
      </c>
      <c r="M121" s="41">
        <v>84.970000999999996</v>
      </c>
      <c r="N121" s="37">
        <f t="shared" si="16"/>
        <v>2.115132821958092E-2</v>
      </c>
      <c r="O121" s="41">
        <v>80.080001999999993</v>
      </c>
      <c r="P121" s="37">
        <f t="shared" si="17"/>
        <v>2.6271985470613546E-2</v>
      </c>
    </row>
    <row r="122" spans="2:16" x14ac:dyDescent="0.45">
      <c r="B122" s="39">
        <v>42478</v>
      </c>
      <c r="C122" s="41">
        <v>66.239998</v>
      </c>
      <c r="D122" s="37">
        <f t="shared" si="11"/>
        <v>2.222214403292537E-2</v>
      </c>
      <c r="E122" s="41">
        <v>103.769997</v>
      </c>
      <c r="F122" s="37">
        <f t="shared" si="12"/>
        <v>5.2540837916252726E-2</v>
      </c>
      <c r="G122" s="41">
        <v>82.330001999999993</v>
      </c>
      <c r="H122" s="37">
        <f t="shared" si="13"/>
        <v>-3.2687167861675508E-3</v>
      </c>
      <c r="I122" s="41">
        <v>44.360000999999997</v>
      </c>
      <c r="J122" s="37">
        <f t="shared" si="14"/>
        <v>-1.114578664409749E-2</v>
      </c>
      <c r="K122" s="41">
        <v>51.779998999999997</v>
      </c>
      <c r="L122" s="37">
        <f t="shared" si="15"/>
        <v>-6.954183038483995E-2</v>
      </c>
      <c r="M122" s="41">
        <v>87.529999000000004</v>
      </c>
      <c r="N122" s="37">
        <f t="shared" si="16"/>
        <v>3.0128256677318475E-2</v>
      </c>
      <c r="O122" s="41">
        <v>79.110000999999997</v>
      </c>
      <c r="P122" s="37">
        <f t="shared" si="17"/>
        <v>-1.2112899297879592E-2</v>
      </c>
    </row>
    <row r="123" spans="2:16" x14ac:dyDescent="0.45">
      <c r="B123" s="39">
        <v>42485</v>
      </c>
      <c r="C123" s="41">
        <v>65.550003000000004</v>
      </c>
      <c r="D123" s="37">
        <f t="shared" si="11"/>
        <v>-1.0416591498085433E-2</v>
      </c>
      <c r="E123" s="41">
        <v>103.260002</v>
      </c>
      <c r="F123" s="37">
        <f t="shared" si="12"/>
        <v>-4.9146671942180316E-3</v>
      </c>
      <c r="G123" s="41">
        <v>79.5</v>
      </c>
      <c r="H123" s="37">
        <f t="shared" si="13"/>
        <v>-3.4373884747385203E-2</v>
      </c>
      <c r="I123" s="41">
        <v>46.740001999999997</v>
      </c>
      <c r="J123" s="37">
        <f t="shared" si="14"/>
        <v>5.3651960016862947E-2</v>
      </c>
      <c r="K123" s="41">
        <v>49.869999</v>
      </c>
      <c r="L123" s="37">
        <f t="shared" si="15"/>
        <v>-3.6886829603839828E-2</v>
      </c>
      <c r="M123" s="41">
        <v>88.400002000000001</v>
      </c>
      <c r="N123" s="37">
        <f t="shared" si="16"/>
        <v>9.9394837191760614E-3</v>
      </c>
      <c r="O123" s="41">
        <v>77.239998</v>
      </c>
      <c r="P123" s="37">
        <f t="shared" si="17"/>
        <v>-2.3638010066514815E-2</v>
      </c>
    </row>
    <row r="124" spans="2:16" x14ac:dyDescent="0.45">
      <c r="B124" s="39">
        <v>42492</v>
      </c>
      <c r="C124" s="41">
        <v>62.810001</v>
      </c>
      <c r="D124" s="37">
        <f t="shared" si="11"/>
        <v>-4.180018115330985E-2</v>
      </c>
      <c r="E124" s="41">
        <v>105.540001</v>
      </c>
      <c r="F124" s="37">
        <f t="shared" si="12"/>
        <v>2.2080175826454117E-2</v>
      </c>
      <c r="G124" s="41">
        <v>78.739998</v>
      </c>
      <c r="H124" s="37">
        <f t="shared" si="13"/>
        <v>-9.5597735849056609E-3</v>
      </c>
      <c r="I124" s="41">
        <v>49.380001</v>
      </c>
      <c r="J124" s="37">
        <f t="shared" si="14"/>
        <v>5.6482646278021194E-2</v>
      </c>
      <c r="K124" s="41">
        <v>50.389999000000003</v>
      </c>
      <c r="L124" s="37">
        <f t="shared" si="15"/>
        <v>1.0427110696352793E-2</v>
      </c>
      <c r="M124" s="41">
        <v>88.510002</v>
      </c>
      <c r="N124" s="37">
        <f t="shared" si="16"/>
        <v>1.2443438632501324E-3</v>
      </c>
      <c r="O124" s="41">
        <v>77.720000999999996</v>
      </c>
      <c r="P124" s="37">
        <f t="shared" si="17"/>
        <v>6.2144356865467083E-3</v>
      </c>
    </row>
    <row r="125" spans="2:16" x14ac:dyDescent="0.45">
      <c r="B125" s="39">
        <v>42499</v>
      </c>
      <c r="C125" s="41">
        <v>61.580002</v>
      </c>
      <c r="D125" s="37">
        <f t="shared" si="11"/>
        <v>-1.9582852737098339E-2</v>
      </c>
      <c r="E125" s="41">
        <v>100.519997</v>
      </c>
      <c r="F125" s="37">
        <f t="shared" si="12"/>
        <v>-4.7564941751327063E-2</v>
      </c>
      <c r="G125" s="41">
        <v>73.879997000000003</v>
      </c>
      <c r="H125" s="37">
        <f t="shared" si="13"/>
        <v>-6.1722137712017684E-2</v>
      </c>
      <c r="I125" s="41">
        <v>52.540000999999997</v>
      </c>
      <c r="J125" s="37">
        <f t="shared" si="14"/>
        <v>6.3993518347640305E-2</v>
      </c>
      <c r="K125" s="41">
        <v>51.080002</v>
      </c>
      <c r="L125" s="37">
        <f t="shared" si="15"/>
        <v>1.3693252901235367E-2</v>
      </c>
      <c r="M125" s="41">
        <v>88.660004000000001</v>
      </c>
      <c r="N125" s="37">
        <f t="shared" si="16"/>
        <v>1.6947463180488984E-3</v>
      </c>
      <c r="O125" s="41">
        <v>76.830001999999993</v>
      </c>
      <c r="P125" s="37">
        <f t="shared" si="17"/>
        <v>-1.1451350856261609E-2</v>
      </c>
    </row>
    <row r="126" spans="2:16" x14ac:dyDescent="0.45">
      <c r="B126" s="39">
        <v>42506</v>
      </c>
      <c r="C126" s="41">
        <v>62.490001999999997</v>
      </c>
      <c r="D126" s="37">
        <f t="shared" si="11"/>
        <v>1.4777524690564261E-2</v>
      </c>
      <c r="E126" s="41">
        <v>99.779999000000004</v>
      </c>
      <c r="F126" s="37">
        <f t="shared" si="12"/>
        <v>-7.3616993840539E-3</v>
      </c>
      <c r="G126" s="41">
        <v>68.660004000000001</v>
      </c>
      <c r="H126" s="37">
        <f t="shared" si="13"/>
        <v>-7.0655024525786078E-2</v>
      </c>
      <c r="I126" s="41">
        <v>52.139999000000003</v>
      </c>
      <c r="J126" s="37">
        <f t="shared" si="14"/>
        <v>-7.6132849711973462E-3</v>
      </c>
      <c r="K126" s="41">
        <v>50.619999</v>
      </c>
      <c r="L126" s="37">
        <f t="shared" si="15"/>
        <v>-9.0055399762905327E-3</v>
      </c>
      <c r="M126" s="41">
        <v>89.739998</v>
      </c>
      <c r="N126" s="37">
        <f t="shared" si="16"/>
        <v>1.2181298796241868E-2</v>
      </c>
      <c r="O126" s="41">
        <v>77.669998000000007</v>
      </c>
      <c r="P126" s="37">
        <f t="shared" si="17"/>
        <v>1.0933176859737862E-2</v>
      </c>
    </row>
    <row r="127" spans="2:16" x14ac:dyDescent="0.45">
      <c r="B127" s="39">
        <v>42513</v>
      </c>
      <c r="C127" s="41">
        <v>64.690002000000007</v>
      </c>
      <c r="D127" s="37">
        <f t="shared" si="11"/>
        <v>3.5205631774503865E-2</v>
      </c>
      <c r="E127" s="41">
        <v>100.290001</v>
      </c>
      <c r="F127" s="37">
        <f t="shared" si="12"/>
        <v>5.1112648337468918E-3</v>
      </c>
      <c r="G127" s="41">
        <v>68.900002000000001</v>
      </c>
      <c r="H127" s="37">
        <f t="shared" si="13"/>
        <v>3.4954556658633451E-3</v>
      </c>
      <c r="I127" s="41">
        <v>53.07</v>
      </c>
      <c r="J127" s="37">
        <f t="shared" si="14"/>
        <v>1.7836613307184702E-2</v>
      </c>
      <c r="K127" s="41">
        <v>52.32</v>
      </c>
      <c r="L127" s="37">
        <f t="shared" si="15"/>
        <v>3.3583584227253743E-2</v>
      </c>
      <c r="M127" s="41">
        <v>90.010002</v>
      </c>
      <c r="N127" s="37">
        <f t="shared" si="16"/>
        <v>3.0087364165085019E-3</v>
      </c>
      <c r="O127" s="41">
        <v>79.660004000000001</v>
      </c>
      <c r="P127" s="37">
        <f t="shared" si="17"/>
        <v>2.5621295883128434E-2</v>
      </c>
    </row>
    <row r="128" spans="2:16" x14ac:dyDescent="0.45">
      <c r="B128" s="39">
        <v>42520</v>
      </c>
      <c r="C128" s="41">
        <v>67.239998</v>
      </c>
      <c r="D128" s="37">
        <f t="shared" si="11"/>
        <v>3.9418703372431384E-2</v>
      </c>
      <c r="E128" s="41">
        <v>98.75</v>
      </c>
      <c r="F128" s="37">
        <f t="shared" si="12"/>
        <v>-1.5355478957468588E-2</v>
      </c>
      <c r="G128" s="41">
        <v>68.650002000000001</v>
      </c>
      <c r="H128" s="37">
        <f t="shared" si="13"/>
        <v>-3.6284469193484203E-3</v>
      </c>
      <c r="I128" s="41">
        <v>53.639999000000003</v>
      </c>
      <c r="J128" s="37">
        <f t="shared" si="14"/>
        <v>1.074051253061999E-2</v>
      </c>
      <c r="K128" s="41">
        <v>51.790000999999997</v>
      </c>
      <c r="L128" s="37">
        <f t="shared" si="15"/>
        <v>-1.0129950305810468E-2</v>
      </c>
      <c r="M128" s="41">
        <v>88.370002999999997</v>
      </c>
      <c r="N128" s="37">
        <f t="shared" si="16"/>
        <v>-1.8220186241080221E-2</v>
      </c>
      <c r="O128" s="41">
        <v>79.940002000000007</v>
      </c>
      <c r="P128" s="37">
        <f t="shared" si="17"/>
        <v>3.5149132053772705E-3</v>
      </c>
    </row>
    <row r="129" spans="2:16" x14ac:dyDescent="0.45">
      <c r="B129" s="39">
        <v>42527</v>
      </c>
      <c r="C129" s="41">
        <v>70.540001000000004</v>
      </c>
      <c r="D129" s="37">
        <f t="shared" si="11"/>
        <v>4.9077975879773285E-2</v>
      </c>
      <c r="E129" s="41">
        <v>97.339995999999999</v>
      </c>
      <c r="F129" s="37">
        <f t="shared" si="12"/>
        <v>-1.4278521518987349E-2</v>
      </c>
      <c r="G129" s="41">
        <v>67.879997000000003</v>
      </c>
      <c r="H129" s="37">
        <f t="shared" si="13"/>
        <v>-1.1216387145917309E-2</v>
      </c>
      <c r="I129" s="41">
        <v>55.830002</v>
      </c>
      <c r="J129" s="37">
        <f t="shared" si="14"/>
        <v>4.0827797181726216E-2</v>
      </c>
      <c r="K129" s="41">
        <v>51.48</v>
      </c>
      <c r="L129" s="37">
        <f t="shared" si="15"/>
        <v>-5.9857307204917755E-3</v>
      </c>
      <c r="M129" s="41">
        <v>89.980002999999996</v>
      </c>
      <c r="N129" s="37">
        <f t="shared" si="16"/>
        <v>1.821885193327423E-2</v>
      </c>
      <c r="O129" s="41">
        <v>80.180000000000007</v>
      </c>
      <c r="P129" s="37">
        <f t="shared" si="17"/>
        <v>3.0022265948905021E-3</v>
      </c>
    </row>
    <row r="130" spans="2:16" x14ac:dyDescent="0.45">
      <c r="B130" s="39">
        <v>42534</v>
      </c>
      <c r="C130" s="41">
        <v>71.709998999999996</v>
      </c>
      <c r="D130" s="37">
        <f t="shared" si="11"/>
        <v>1.6586305407055388E-2</v>
      </c>
      <c r="E130" s="41">
        <v>99</v>
      </c>
      <c r="F130" s="37">
        <f t="shared" si="12"/>
        <v>1.7053668257804331E-2</v>
      </c>
      <c r="G130" s="41">
        <v>67.5</v>
      </c>
      <c r="H130" s="37">
        <f t="shared" si="13"/>
        <v>-5.5980703711581339E-3</v>
      </c>
      <c r="I130" s="41">
        <v>54.740001999999997</v>
      </c>
      <c r="J130" s="37">
        <f t="shared" si="14"/>
        <v>-1.9523552945600885E-2</v>
      </c>
      <c r="K130" s="41">
        <v>50.130001</v>
      </c>
      <c r="L130" s="37">
        <f t="shared" si="15"/>
        <v>-2.6223756798756739E-2</v>
      </c>
      <c r="M130" s="41">
        <v>90.720000999999996</v>
      </c>
      <c r="N130" s="37">
        <f t="shared" si="16"/>
        <v>8.2240272874851972E-3</v>
      </c>
      <c r="O130" s="41">
        <v>76.989998</v>
      </c>
      <c r="P130" s="37">
        <f t="shared" si="17"/>
        <v>-3.9785507607882346E-2</v>
      </c>
    </row>
    <row r="131" spans="2:16" x14ac:dyDescent="0.45">
      <c r="B131" s="39">
        <v>42541</v>
      </c>
      <c r="C131" s="41">
        <v>69.620002999999997</v>
      </c>
      <c r="D131" s="37">
        <f t="shared" si="11"/>
        <v>-2.9145112664134876E-2</v>
      </c>
      <c r="E131" s="41">
        <v>95.720000999999996</v>
      </c>
      <c r="F131" s="37">
        <f t="shared" si="12"/>
        <v>-3.3131303030303066E-2</v>
      </c>
      <c r="G131" s="41">
        <v>69.349997999999999</v>
      </c>
      <c r="H131" s="37">
        <f t="shared" si="13"/>
        <v>2.7407377777777769E-2</v>
      </c>
      <c r="I131" s="41">
        <v>58.43</v>
      </c>
      <c r="J131" s="37">
        <f t="shared" si="14"/>
        <v>6.7409533525409862E-2</v>
      </c>
      <c r="K131" s="41">
        <v>49.830002</v>
      </c>
      <c r="L131" s="37">
        <f t="shared" si="15"/>
        <v>-5.9844203873045936E-3</v>
      </c>
      <c r="M131" s="41">
        <v>89.389999000000003</v>
      </c>
      <c r="N131" s="37">
        <f t="shared" si="16"/>
        <v>-1.4660515711413994E-2</v>
      </c>
      <c r="O131" s="41">
        <v>75.050003000000004</v>
      </c>
      <c r="P131" s="37">
        <f t="shared" si="17"/>
        <v>-2.519801338350465E-2</v>
      </c>
    </row>
    <row r="132" spans="2:16" x14ac:dyDescent="0.45">
      <c r="B132" s="39">
        <v>42548</v>
      </c>
      <c r="C132" s="41">
        <v>73.959998999999996</v>
      </c>
      <c r="D132" s="37">
        <f t="shared" ref="D132:D195" si="18">(C132-C131)/C131</f>
        <v>6.2338348362323388E-2</v>
      </c>
      <c r="E132" s="41">
        <v>98.029999000000004</v>
      </c>
      <c r="F132" s="37">
        <f t="shared" ref="F132:F195" si="19">(E132-E131)/E131</f>
        <v>2.4132866442406403E-2</v>
      </c>
      <c r="G132" s="41">
        <v>70.050003000000004</v>
      </c>
      <c r="H132" s="37">
        <f t="shared" ref="H132:H195" si="20">(G132-G131)/G131</f>
        <v>1.0093799858509072E-2</v>
      </c>
      <c r="I132" s="41">
        <v>61.369999</v>
      </c>
      <c r="J132" s="37">
        <f t="shared" ref="J132:J195" si="21">(I132-I131)/I131</f>
        <v>5.0316601061098754E-2</v>
      </c>
      <c r="K132" s="41">
        <v>51.16</v>
      </c>
      <c r="L132" s="37">
        <f t="shared" ref="L132:L195" si="22">(K132-K131)/K131</f>
        <v>2.6690707337318514E-2</v>
      </c>
      <c r="M132" s="41">
        <v>93.839995999999999</v>
      </c>
      <c r="N132" s="37">
        <f t="shared" ref="N132:N195" si="23">(M132-M131)/M131</f>
        <v>4.9781821789705985E-2</v>
      </c>
      <c r="O132" s="41">
        <v>74.480002999999996</v>
      </c>
      <c r="P132" s="37">
        <f t="shared" ref="P132:P195" si="24">(O132-O131)/O131</f>
        <v>-7.5949364052657984E-3</v>
      </c>
    </row>
    <row r="133" spans="2:16" x14ac:dyDescent="0.45">
      <c r="B133" s="39">
        <v>42555</v>
      </c>
      <c r="C133" s="41">
        <v>76.720000999999996</v>
      </c>
      <c r="D133" s="37">
        <f t="shared" si="18"/>
        <v>3.7317496448316612E-2</v>
      </c>
      <c r="E133" s="41">
        <v>99.620002999999997</v>
      </c>
      <c r="F133" s="37">
        <f t="shared" si="19"/>
        <v>1.6219565604606332E-2</v>
      </c>
      <c r="G133" s="41">
        <v>71.309997999999993</v>
      </c>
      <c r="H133" s="37">
        <f t="shared" si="20"/>
        <v>1.7987079886349032E-2</v>
      </c>
      <c r="I133" s="41">
        <v>62.119999</v>
      </c>
      <c r="J133" s="37">
        <f t="shared" si="21"/>
        <v>1.2220955063075689E-2</v>
      </c>
      <c r="K133" s="41">
        <v>52.299999</v>
      </c>
      <c r="L133" s="37">
        <f t="shared" si="22"/>
        <v>2.2283014073494981E-2</v>
      </c>
      <c r="M133" s="41">
        <v>93.540001000000004</v>
      </c>
      <c r="N133" s="37">
        <f t="shared" si="23"/>
        <v>-3.1968778003783759E-3</v>
      </c>
      <c r="O133" s="41">
        <v>76.419998000000007</v>
      </c>
      <c r="P133" s="37">
        <f t="shared" si="24"/>
        <v>2.6047192828389257E-2</v>
      </c>
    </row>
    <row r="134" spans="2:16" x14ac:dyDescent="0.45">
      <c r="B134" s="39">
        <v>42562</v>
      </c>
      <c r="C134" s="41">
        <v>77.800003000000004</v>
      </c>
      <c r="D134" s="37">
        <f t="shared" si="18"/>
        <v>1.4077189597534123E-2</v>
      </c>
      <c r="E134" s="41">
        <v>99.800003000000004</v>
      </c>
      <c r="F134" s="37">
        <f t="shared" si="19"/>
        <v>1.8068660367336752E-3</v>
      </c>
      <c r="G134" s="41">
        <v>73.040001000000004</v>
      </c>
      <c r="H134" s="37">
        <f t="shared" si="20"/>
        <v>2.4260314801860052E-2</v>
      </c>
      <c r="I134" s="41">
        <v>61.25</v>
      </c>
      <c r="J134" s="37">
        <f t="shared" si="21"/>
        <v>-1.4005135447603597E-2</v>
      </c>
      <c r="K134" s="41">
        <v>53.700001</v>
      </c>
      <c r="L134" s="37">
        <f t="shared" si="22"/>
        <v>2.6768681200166001E-2</v>
      </c>
      <c r="M134" s="41">
        <v>95.120002999999997</v>
      </c>
      <c r="N134" s="37">
        <f t="shared" si="23"/>
        <v>1.6891190753782367E-2</v>
      </c>
      <c r="O134" s="41">
        <v>78.300003000000004</v>
      </c>
      <c r="P134" s="37">
        <f t="shared" si="24"/>
        <v>2.4600955891152954E-2</v>
      </c>
    </row>
    <row r="135" spans="2:16" x14ac:dyDescent="0.45">
      <c r="B135" s="39">
        <v>42569</v>
      </c>
      <c r="C135" s="41">
        <v>76.139999000000003</v>
      </c>
      <c r="D135" s="37">
        <f t="shared" si="18"/>
        <v>-2.1336811516575398E-2</v>
      </c>
      <c r="E135" s="41">
        <v>97.709998999999996</v>
      </c>
      <c r="F135" s="37">
        <f t="shared" si="19"/>
        <v>-2.0941923218178737E-2</v>
      </c>
      <c r="G135" s="41">
        <v>74.919998000000007</v>
      </c>
      <c r="H135" s="37">
        <f t="shared" si="20"/>
        <v>2.573927949425963E-2</v>
      </c>
      <c r="I135" s="41">
        <v>61.860000999999997</v>
      </c>
      <c r="J135" s="37">
        <f t="shared" si="21"/>
        <v>9.9591999999999493E-3</v>
      </c>
      <c r="K135" s="41">
        <v>56.57</v>
      </c>
      <c r="L135" s="37">
        <f t="shared" si="22"/>
        <v>5.3445045559682575E-2</v>
      </c>
      <c r="M135" s="41">
        <v>94.010002</v>
      </c>
      <c r="N135" s="37">
        <f t="shared" si="23"/>
        <v>-1.1669480287968419E-2</v>
      </c>
      <c r="O135" s="41">
        <v>79.910004000000001</v>
      </c>
      <c r="P135" s="37">
        <f t="shared" si="24"/>
        <v>2.0561953235174166E-2</v>
      </c>
    </row>
    <row r="136" spans="2:16" x14ac:dyDescent="0.45">
      <c r="B136" s="39">
        <v>42576</v>
      </c>
      <c r="C136" s="41">
        <v>77.650002000000001</v>
      </c>
      <c r="D136" s="37">
        <f t="shared" si="18"/>
        <v>1.9831928287784684E-2</v>
      </c>
      <c r="E136" s="41">
        <v>95.949996999999996</v>
      </c>
      <c r="F136" s="37">
        <f t="shared" si="19"/>
        <v>-1.8012506580825982E-2</v>
      </c>
      <c r="G136" s="41">
        <v>75.330001999999993</v>
      </c>
      <c r="H136" s="37">
        <f t="shared" si="20"/>
        <v>5.4725575406447081E-3</v>
      </c>
      <c r="I136" s="41">
        <v>57.360000999999997</v>
      </c>
      <c r="J136" s="37">
        <f t="shared" si="21"/>
        <v>-7.2744906680489718E-2</v>
      </c>
      <c r="K136" s="41">
        <v>56.68</v>
      </c>
      <c r="L136" s="37">
        <f t="shared" si="22"/>
        <v>1.944493547816854E-3</v>
      </c>
      <c r="M136" s="41">
        <v>88.949996999999996</v>
      </c>
      <c r="N136" s="37">
        <f t="shared" si="23"/>
        <v>-5.3824113310836905E-2</v>
      </c>
      <c r="O136" s="41">
        <v>78.050003000000004</v>
      </c>
      <c r="P136" s="37">
        <f t="shared" si="24"/>
        <v>-2.3276197057880223E-2</v>
      </c>
    </row>
    <row r="137" spans="2:16" x14ac:dyDescent="0.45">
      <c r="B137" s="39">
        <v>42583</v>
      </c>
      <c r="C137" s="41">
        <v>77.800003000000004</v>
      </c>
      <c r="D137" s="37">
        <f t="shared" si="18"/>
        <v>1.9317578382033159E-3</v>
      </c>
      <c r="E137" s="41">
        <v>95.830001999999993</v>
      </c>
      <c r="F137" s="37">
        <f t="shared" si="19"/>
        <v>-1.2505993095549858E-3</v>
      </c>
      <c r="G137" s="41">
        <v>74.940002000000007</v>
      </c>
      <c r="H137" s="37">
        <f t="shared" si="20"/>
        <v>-5.1772200935290879E-3</v>
      </c>
      <c r="I137" s="41">
        <v>54.080002</v>
      </c>
      <c r="J137" s="37">
        <f t="shared" si="21"/>
        <v>-5.7182687287609994E-2</v>
      </c>
      <c r="K137" s="41">
        <v>57.959999000000003</v>
      </c>
      <c r="L137" s="37">
        <f t="shared" si="22"/>
        <v>2.2582904022582985E-2</v>
      </c>
      <c r="M137" s="41">
        <v>87.559997999999993</v>
      </c>
      <c r="N137" s="37">
        <f t="shared" si="23"/>
        <v>-1.5626745889603607E-2</v>
      </c>
      <c r="O137" s="41">
        <v>80.139999000000003</v>
      </c>
      <c r="P137" s="37">
        <f t="shared" si="24"/>
        <v>2.6777654319885155E-2</v>
      </c>
    </row>
    <row r="138" spans="2:16" x14ac:dyDescent="0.45">
      <c r="B138" s="39">
        <v>42590</v>
      </c>
      <c r="C138" s="41">
        <v>79.339995999999999</v>
      </c>
      <c r="D138" s="37">
        <f t="shared" si="18"/>
        <v>1.979425373544003E-2</v>
      </c>
      <c r="E138" s="41">
        <v>96.839995999999999</v>
      </c>
      <c r="F138" s="37">
        <f t="shared" si="19"/>
        <v>1.0539434195149095E-2</v>
      </c>
      <c r="G138" s="41">
        <v>75.809997999999993</v>
      </c>
      <c r="H138" s="37">
        <f t="shared" si="20"/>
        <v>1.1609233744082181E-2</v>
      </c>
      <c r="I138" s="41">
        <v>55.740001999999997</v>
      </c>
      <c r="J138" s="37">
        <f t="shared" si="21"/>
        <v>3.0695265137009362E-2</v>
      </c>
      <c r="K138" s="41">
        <v>57.939999</v>
      </c>
      <c r="L138" s="37">
        <f t="shared" si="22"/>
        <v>-3.4506556841043296E-4</v>
      </c>
      <c r="M138" s="41">
        <v>87.849997999999999</v>
      </c>
      <c r="N138" s="37">
        <f t="shared" si="23"/>
        <v>3.3120146941986715E-3</v>
      </c>
      <c r="O138" s="41">
        <v>80.019997000000004</v>
      </c>
      <c r="P138" s="37">
        <f t="shared" si="24"/>
        <v>-1.4974045607362622E-3</v>
      </c>
    </row>
    <row r="139" spans="2:16" x14ac:dyDescent="0.45">
      <c r="B139" s="39">
        <v>42597</v>
      </c>
      <c r="C139" s="41">
        <v>80.650002000000001</v>
      </c>
      <c r="D139" s="37">
        <f t="shared" si="18"/>
        <v>1.6511294001073575E-2</v>
      </c>
      <c r="E139" s="41">
        <v>96.389999000000003</v>
      </c>
      <c r="F139" s="37">
        <f t="shared" si="19"/>
        <v>-4.646809361702124E-3</v>
      </c>
      <c r="G139" s="41">
        <v>70.120002999999997</v>
      </c>
      <c r="H139" s="37">
        <f t="shared" si="20"/>
        <v>-7.5055997231394153E-2</v>
      </c>
      <c r="I139" s="41">
        <v>49.07</v>
      </c>
      <c r="J139" s="37">
        <f t="shared" si="21"/>
        <v>-0.11966275135763356</v>
      </c>
      <c r="K139" s="41">
        <v>57.619999</v>
      </c>
      <c r="L139" s="37">
        <f t="shared" si="22"/>
        <v>-5.5229548761297062E-3</v>
      </c>
      <c r="M139" s="41">
        <v>87.800003000000004</v>
      </c>
      <c r="N139" s="37">
        <f t="shared" si="23"/>
        <v>-5.690950613339294E-4</v>
      </c>
      <c r="O139" s="41">
        <v>80.470000999999996</v>
      </c>
      <c r="P139" s="37">
        <f t="shared" si="24"/>
        <v>5.6236442998116171E-3</v>
      </c>
    </row>
    <row r="140" spans="2:16" x14ac:dyDescent="0.45">
      <c r="B140" s="39">
        <v>42604</v>
      </c>
      <c r="C140" s="41">
        <v>78.190002000000007</v>
      </c>
      <c r="D140" s="37">
        <f t="shared" si="18"/>
        <v>-3.0502169113399324E-2</v>
      </c>
      <c r="E140" s="41">
        <v>95.209998999999996</v>
      </c>
      <c r="F140" s="37">
        <f t="shared" si="19"/>
        <v>-1.2241933937565522E-2</v>
      </c>
      <c r="G140" s="41">
        <v>70.349997999999999</v>
      </c>
      <c r="H140" s="37">
        <f t="shared" si="20"/>
        <v>3.2800198254412851E-3</v>
      </c>
      <c r="I140" s="41">
        <v>50.779998999999997</v>
      </c>
      <c r="J140" s="37">
        <f t="shared" si="21"/>
        <v>3.4848155695944495E-2</v>
      </c>
      <c r="K140" s="41">
        <v>58.029998999999997</v>
      </c>
      <c r="L140" s="37">
        <f t="shared" si="22"/>
        <v>7.1155849898573683E-3</v>
      </c>
      <c r="M140" s="41">
        <v>87.269997000000004</v>
      </c>
      <c r="N140" s="37">
        <f t="shared" si="23"/>
        <v>-6.0365146001190931E-3</v>
      </c>
      <c r="O140" s="41">
        <v>80.569999999999993</v>
      </c>
      <c r="P140" s="37">
        <f t="shared" si="24"/>
        <v>1.2426867001032701E-3</v>
      </c>
    </row>
    <row r="141" spans="2:16" x14ac:dyDescent="0.45">
      <c r="B141" s="39">
        <v>42611</v>
      </c>
      <c r="C141" s="41">
        <v>68.569999999999993</v>
      </c>
      <c r="D141" s="37">
        <f t="shared" si="18"/>
        <v>-0.12303365844651101</v>
      </c>
      <c r="E141" s="41">
        <v>94.419998000000007</v>
      </c>
      <c r="F141" s="37">
        <f t="shared" si="19"/>
        <v>-8.2974583373327162E-3</v>
      </c>
      <c r="G141" s="41">
        <v>70.809997999999993</v>
      </c>
      <c r="H141" s="37">
        <f t="shared" si="20"/>
        <v>6.5387350828353076E-3</v>
      </c>
      <c r="I141" s="41">
        <v>48.790000999999997</v>
      </c>
      <c r="J141" s="37">
        <f t="shared" si="21"/>
        <v>-3.9188618337704186E-2</v>
      </c>
      <c r="K141" s="41">
        <v>57.669998</v>
      </c>
      <c r="L141" s="37">
        <f t="shared" si="22"/>
        <v>-6.2037050870877479E-3</v>
      </c>
      <c r="M141" s="41">
        <v>87.419998000000007</v>
      </c>
      <c r="N141" s="37">
        <f t="shared" si="23"/>
        <v>1.7188152303935927E-3</v>
      </c>
      <c r="O141" s="41">
        <v>82</v>
      </c>
      <c r="P141" s="37">
        <f t="shared" si="24"/>
        <v>1.7748541640809322E-2</v>
      </c>
    </row>
    <row r="142" spans="2:16" x14ac:dyDescent="0.45">
      <c r="B142" s="39">
        <v>42618</v>
      </c>
      <c r="C142" s="41">
        <v>64.800003000000004</v>
      </c>
      <c r="D142" s="37">
        <f t="shared" si="18"/>
        <v>-5.4980268338923576E-2</v>
      </c>
      <c r="E142" s="41">
        <v>92.419998000000007</v>
      </c>
      <c r="F142" s="37">
        <f t="shared" si="19"/>
        <v>-2.1181953424739532E-2</v>
      </c>
      <c r="G142" s="41">
        <v>69</v>
      </c>
      <c r="H142" s="37">
        <f t="shared" si="20"/>
        <v>-2.5561333867005522E-2</v>
      </c>
      <c r="I142" s="41">
        <v>49.639999000000003</v>
      </c>
      <c r="J142" s="37">
        <f t="shared" si="21"/>
        <v>1.7421561438377642E-2</v>
      </c>
      <c r="K142" s="41">
        <v>56.209999000000003</v>
      </c>
      <c r="L142" s="37">
        <f t="shared" si="22"/>
        <v>-2.5316439234140363E-2</v>
      </c>
      <c r="M142" s="41">
        <v>86.839995999999999</v>
      </c>
      <c r="N142" s="37">
        <f t="shared" si="23"/>
        <v>-6.6346604125981264E-3</v>
      </c>
      <c r="O142" s="41">
        <v>81.330001999999993</v>
      </c>
      <c r="P142" s="37">
        <f t="shared" si="24"/>
        <v>-8.1707073170732523E-3</v>
      </c>
    </row>
    <row r="143" spans="2:16" x14ac:dyDescent="0.45">
      <c r="B143" s="39">
        <v>42625</v>
      </c>
      <c r="C143" s="41">
        <v>65.980002999999996</v>
      </c>
      <c r="D143" s="37">
        <f t="shared" si="18"/>
        <v>1.8209875700159962E-2</v>
      </c>
      <c r="E143" s="41">
        <v>92.559997999999993</v>
      </c>
      <c r="F143" s="37">
        <f t="shared" si="19"/>
        <v>1.5148236640297953E-3</v>
      </c>
      <c r="G143" s="41">
        <v>69.230002999999996</v>
      </c>
      <c r="H143" s="37">
        <f t="shared" si="20"/>
        <v>3.3333768115941507E-3</v>
      </c>
      <c r="I143" s="41">
        <v>52.290000999999997</v>
      </c>
      <c r="J143" s="37">
        <f t="shared" si="21"/>
        <v>5.3384408811128166E-2</v>
      </c>
      <c r="K143" s="41">
        <v>57.25</v>
      </c>
      <c r="L143" s="37">
        <f t="shared" si="22"/>
        <v>1.8502064018894513E-2</v>
      </c>
      <c r="M143" s="41">
        <v>84.029999000000004</v>
      </c>
      <c r="N143" s="37">
        <f t="shared" si="23"/>
        <v>-3.2358327146859794E-2</v>
      </c>
      <c r="O143" s="41">
        <v>82.07</v>
      </c>
      <c r="P143" s="37">
        <f t="shared" si="24"/>
        <v>9.0987087397341997E-3</v>
      </c>
    </row>
    <row r="144" spans="2:16" x14ac:dyDescent="0.45">
      <c r="B144" s="39">
        <v>42632</v>
      </c>
      <c r="C144" s="41">
        <v>65.190002000000007</v>
      </c>
      <c r="D144" s="37">
        <f t="shared" si="18"/>
        <v>-1.1973339861775841E-2</v>
      </c>
      <c r="E144" s="41">
        <v>93.269997000000004</v>
      </c>
      <c r="F144" s="37">
        <f t="shared" si="19"/>
        <v>7.6706894483728333E-3</v>
      </c>
      <c r="G144" s="41">
        <v>68.769997000000004</v>
      </c>
      <c r="H144" s="37">
        <f t="shared" si="20"/>
        <v>-6.6446046521187185E-3</v>
      </c>
      <c r="I144" s="41">
        <v>49.990001999999997</v>
      </c>
      <c r="J144" s="37">
        <f t="shared" si="21"/>
        <v>-4.39854457069144E-2</v>
      </c>
      <c r="K144" s="41">
        <v>57.43</v>
      </c>
      <c r="L144" s="37">
        <f t="shared" si="22"/>
        <v>3.144104803493445E-3</v>
      </c>
      <c r="M144" s="41">
        <v>83.449996999999996</v>
      </c>
      <c r="N144" s="37">
        <f t="shared" si="23"/>
        <v>-6.902320681927027E-3</v>
      </c>
      <c r="O144" s="41">
        <v>82.540001000000004</v>
      </c>
      <c r="P144" s="37">
        <f t="shared" si="24"/>
        <v>5.7268307542343196E-3</v>
      </c>
    </row>
    <row r="145" spans="2:16" x14ac:dyDescent="0.45">
      <c r="B145" s="39">
        <v>42639</v>
      </c>
      <c r="C145" s="41">
        <v>60.98</v>
      </c>
      <c r="D145" s="37">
        <f t="shared" si="18"/>
        <v>-6.4580485823577824E-2</v>
      </c>
      <c r="E145" s="41">
        <v>92.860000999999997</v>
      </c>
      <c r="F145" s="37">
        <f t="shared" si="19"/>
        <v>-4.3957972894542565E-3</v>
      </c>
      <c r="G145" s="41">
        <v>68.680000000000007</v>
      </c>
      <c r="H145" s="37">
        <f t="shared" si="20"/>
        <v>-1.308666626813969E-3</v>
      </c>
      <c r="I145" s="41">
        <v>44.049999</v>
      </c>
      <c r="J145" s="37">
        <f t="shared" si="21"/>
        <v>-0.11882382001104937</v>
      </c>
      <c r="K145" s="41">
        <v>57.599997999999999</v>
      </c>
      <c r="L145" s="37">
        <f t="shared" si="22"/>
        <v>2.960090545011312E-3</v>
      </c>
      <c r="M145" s="41">
        <v>87.279999000000004</v>
      </c>
      <c r="N145" s="37">
        <f t="shared" si="23"/>
        <v>4.5895771572047002E-2</v>
      </c>
      <c r="O145" s="41">
        <v>82.699996999999996</v>
      </c>
      <c r="P145" s="37">
        <f t="shared" si="24"/>
        <v>1.9384055980323101E-3</v>
      </c>
    </row>
    <row r="146" spans="2:16" x14ac:dyDescent="0.45">
      <c r="B146" s="39">
        <v>42646</v>
      </c>
      <c r="C146" s="41">
        <v>58.290000999999997</v>
      </c>
      <c r="D146" s="37">
        <f t="shared" si="18"/>
        <v>-4.4112807477861601E-2</v>
      </c>
      <c r="E146" s="41">
        <v>92.489998</v>
      </c>
      <c r="F146" s="37">
        <f t="shared" si="19"/>
        <v>-3.9845250486266635E-3</v>
      </c>
      <c r="G146" s="41">
        <v>69.040001000000004</v>
      </c>
      <c r="H146" s="37">
        <f t="shared" si="20"/>
        <v>5.2417152009318121E-3</v>
      </c>
      <c r="I146" s="41">
        <v>45.5</v>
      </c>
      <c r="J146" s="37">
        <f t="shared" si="21"/>
        <v>3.2917163062818694E-2</v>
      </c>
      <c r="K146" s="41">
        <v>57.799999</v>
      </c>
      <c r="L146" s="37">
        <f t="shared" si="22"/>
        <v>3.4722397038972177E-3</v>
      </c>
      <c r="M146" s="41">
        <v>86.739998</v>
      </c>
      <c r="N146" s="37">
        <f t="shared" si="23"/>
        <v>-6.1869959462305182E-3</v>
      </c>
      <c r="O146" s="41">
        <v>82.879997000000003</v>
      </c>
      <c r="P146" s="37">
        <f t="shared" si="24"/>
        <v>2.1765417960052263E-3</v>
      </c>
    </row>
    <row r="147" spans="2:16" x14ac:dyDescent="0.45">
      <c r="B147" s="39">
        <v>42653</v>
      </c>
      <c r="C147" s="41">
        <v>56.619999</v>
      </c>
      <c r="D147" s="37">
        <f t="shared" si="18"/>
        <v>-2.8649887997085413E-2</v>
      </c>
      <c r="E147" s="41">
        <v>91.300003000000004</v>
      </c>
      <c r="F147" s="37">
        <f t="shared" si="19"/>
        <v>-1.2866202029758895E-2</v>
      </c>
      <c r="G147" s="41">
        <v>68.110000999999997</v>
      </c>
      <c r="H147" s="37">
        <f t="shared" si="20"/>
        <v>-1.3470451716824377E-2</v>
      </c>
      <c r="I147" s="41">
        <v>48.5</v>
      </c>
      <c r="J147" s="37">
        <f t="shared" si="21"/>
        <v>6.5934065934065936E-2</v>
      </c>
      <c r="K147" s="41">
        <v>57.419998</v>
      </c>
      <c r="L147" s="37">
        <f t="shared" si="22"/>
        <v>-6.5744118784500328E-3</v>
      </c>
      <c r="M147" s="41">
        <v>86.540001000000004</v>
      </c>
      <c r="N147" s="37">
        <f t="shared" si="23"/>
        <v>-2.3057067628707603E-3</v>
      </c>
      <c r="O147" s="41">
        <v>82.449996999999996</v>
      </c>
      <c r="P147" s="37">
        <f t="shared" si="24"/>
        <v>-5.1882241260217087E-3</v>
      </c>
    </row>
    <row r="148" spans="2:16" x14ac:dyDescent="0.45">
      <c r="B148" s="39">
        <v>42660</v>
      </c>
      <c r="C148" s="41">
        <v>57</v>
      </c>
      <c r="D148" s="37">
        <f t="shared" si="18"/>
        <v>6.7114271761113953E-3</v>
      </c>
      <c r="E148" s="41">
        <v>93.029999000000004</v>
      </c>
      <c r="F148" s="37">
        <f t="shared" si="19"/>
        <v>1.8948476923927371E-2</v>
      </c>
      <c r="G148" s="41">
        <v>68.230002999999996</v>
      </c>
      <c r="H148" s="37">
        <f t="shared" si="20"/>
        <v>1.7618851598607303E-3</v>
      </c>
      <c r="I148" s="41">
        <v>49.169998</v>
      </c>
      <c r="J148" s="37">
        <f t="shared" si="21"/>
        <v>1.3814391752577312E-2</v>
      </c>
      <c r="K148" s="41">
        <v>59.66</v>
      </c>
      <c r="L148" s="37">
        <f t="shared" si="22"/>
        <v>3.9010833821345604E-2</v>
      </c>
      <c r="M148" s="41">
        <v>86.620002999999997</v>
      </c>
      <c r="N148" s="37">
        <f t="shared" si="23"/>
        <v>9.2445111018652794E-4</v>
      </c>
      <c r="O148" s="41">
        <v>82.349997999999999</v>
      </c>
      <c r="P148" s="37">
        <f t="shared" si="24"/>
        <v>-1.2128441920985981E-3</v>
      </c>
    </row>
    <row r="149" spans="2:16" x14ac:dyDescent="0.45">
      <c r="B149" s="39">
        <v>42667</v>
      </c>
      <c r="C149" s="41">
        <v>58.400002000000001</v>
      </c>
      <c r="D149" s="37">
        <f t="shared" si="18"/>
        <v>2.456143859649124E-2</v>
      </c>
      <c r="E149" s="41">
        <v>93.849997999999999</v>
      </c>
      <c r="F149" s="37">
        <f t="shared" si="19"/>
        <v>8.8143503043571526E-3</v>
      </c>
      <c r="G149" s="41">
        <v>68.830001999999993</v>
      </c>
      <c r="H149" s="37">
        <f t="shared" si="20"/>
        <v>8.7937706817922436E-3</v>
      </c>
      <c r="I149" s="41">
        <v>47.560001</v>
      </c>
      <c r="J149" s="37">
        <f t="shared" si="21"/>
        <v>-3.2743483129692212E-2</v>
      </c>
      <c r="K149" s="41">
        <v>59.869999</v>
      </c>
      <c r="L149" s="37">
        <f t="shared" si="22"/>
        <v>3.5199296010728024E-3</v>
      </c>
      <c r="M149" s="41">
        <v>84.779999000000004</v>
      </c>
      <c r="N149" s="37">
        <f t="shared" si="23"/>
        <v>-2.1242252785421786E-2</v>
      </c>
      <c r="O149" s="41">
        <v>82.220000999999996</v>
      </c>
      <c r="P149" s="37">
        <f t="shared" si="24"/>
        <v>-1.5785914166021354E-3</v>
      </c>
    </row>
    <row r="150" spans="2:16" x14ac:dyDescent="0.45">
      <c r="B150" s="39">
        <v>42674</v>
      </c>
      <c r="C150" s="41">
        <v>55.84</v>
      </c>
      <c r="D150" s="37">
        <f t="shared" si="18"/>
        <v>-4.38356491837106E-2</v>
      </c>
      <c r="E150" s="41">
        <v>92.449996999999996</v>
      </c>
      <c r="F150" s="37">
        <f t="shared" si="19"/>
        <v>-1.4917432390355546E-2</v>
      </c>
      <c r="G150" s="41">
        <v>66.529999000000004</v>
      </c>
      <c r="H150" s="37">
        <f t="shared" si="20"/>
        <v>-3.3415704390070917E-2</v>
      </c>
      <c r="I150" s="41">
        <v>45.5</v>
      </c>
      <c r="J150" s="37">
        <f t="shared" si="21"/>
        <v>-4.3313729114513679E-2</v>
      </c>
      <c r="K150" s="41">
        <v>58.709999000000003</v>
      </c>
      <c r="L150" s="37">
        <f t="shared" si="22"/>
        <v>-1.9375313502176552E-2</v>
      </c>
      <c r="M150" s="41">
        <v>83.57</v>
      </c>
      <c r="N150" s="37">
        <f t="shared" si="23"/>
        <v>-1.4272222390566558E-2</v>
      </c>
      <c r="O150" s="41">
        <v>80.360000999999997</v>
      </c>
      <c r="P150" s="37">
        <f t="shared" si="24"/>
        <v>-2.2622232758182519E-2</v>
      </c>
    </row>
    <row r="151" spans="2:16" x14ac:dyDescent="0.45">
      <c r="B151" s="39">
        <v>42681</v>
      </c>
      <c r="C151" s="41">
        <v>57.84</v>
      </c>
      <c r="D151" s="37">
        <f t="shared" si="18"/>
        <v>3.5816618911174783E-2</v>
      </c>
      <c r="E151" s="41">
        <v>97.68</v>
      </c>
      <c r="F151" s="37">
        <f t="shared" si="19"/>
        <v>5.6571153809772554E-2</v>
      </c>
      <c r="G151" s="41">
        <v>71.349997999999999</v>
      </c>
      <c r="H151" s="37">
        <f t="shared" si="20"/>
        <v>7.2448505523049767E-2</v>
      </c>
      <c r="I151" s="41">
        <v>47.060001</v>
      </c>
      <c r="J151" s="37">
        <f t="shared" si="21"/>
        <v>3.4285736263736259E-2</v>
      </c>
      <c r="K151" s="41">
        <v>59.02</v>
      </c>
      <c r="L151" s="37">
        <f t="shared" si="22"/>
        <v>5.2802078909931468E-3</v>
      </c>
      <c r="M151" s="41">
        <v>85.669998000000007</v>
      </c>
      <c r="N151" s="37">
        <f t="shared" si="23"/>
        <v>2.5128610745482994E-2</v>
      </c>
      <c r="O151" s="41">
        <v>81.879997000000003</v>
      </c>
      <c r="P151" s="37">
        <f t="shared" si="24"/>
        <v>1.8914833014997176E-2</v>
      </c>
    </row>
    <row r="152" spans="2:16" x14ac:dyDescent="0.45">
      <c r="B152" s="39">
        <v>42688</v>
      </c>
      <c r="C152" s="41">
        <v>54.610000999999997</v>
      </c>
      <c r="D152" s="37">
        <f t="shared" si="18"/>
        <v>-5.5843689488243538E-2</v>
      </c>
      <c r="E152" s="41">
        <v>98.239998</v>
      </c>
      <c r="F152" s="37">
        <f t="shared" si="19"/>
        <v>5.7329852579851874E-3</v>
      </c>
      <c r="G152" s="41">
        <v>76.190002000000007</v>
      </c>
      <c r="H152" s="37">
        <f t="shared" si="20"/>
        <v>6.7834676043018349E-2</v>
      </c>
      <c r="I152" s="41">
        <v>50.77</v>
      </c>
      <c r="J152" s="37">
        <f t="shared" si="21"/>
        <v>7.8835506187090884E-2</v>
      </c>
      <c r="K152" s="41">
        <v>60.349997999999999</v>
      </c>
      <c r="L152" s="37">
        <f t="shared" si="22"/>
        <v>2.253470010166039E-2</v>
      </c>
      <c r="M152" s="41">
        <v>85.279999000000004</v>
      </c>
      <c r="N152" s="37">
        <f t="shared" si="23"/>
        <v>-4.5523404821370848E-3</v>
      </c>
      <c r="O152" s="41">
        <v>80.819999999999993</v>
      </c>
      <c r="P152" s="37">
        <f t="shared" si="24"/>
        <v>-1.2945738139194238E-2</v>
      </c>
    </row>
    <row r="153" spans="2:16" x14ac:dyDescent="0.45">
      <c r="B153" s="39">
        <v>42695</v>
      </c>
      <c r="C153" s="41">
        <v>57.990001999999997</v>
      </c>
      <c r="D153" s="37">
        <f t="shared" si="18"/>
        <v>6.1893443290726186E-2</v>
      </c>
      <c r="E153" s="41">
        <v>98.82</v>
      </c>
      <c r="F153" s="37">
        <f t="shared" si="19"/>
        <v>5.9039292732883933E-3</v>
      </c>
      <c r="G153" s="41">
        <v>78.610000999999997</v>
      </c>
      <c r="H153" s="37">
        <f t="shared" si="20"/>
        <v>3.1762684558007882E-2</v>
      </c>
      <c r="I153" s="41">
        <v>49.98</v>
      </c>
      <c r="J153" s="37">
        <f t="shared" si="21"/>
        <v>-1.5560370297419858E-2</v>
      </c>
      <c r="K153" s="41">
        <v>60.529998999999997</v>
      </c>
      <c r="L153" s="37">
        <f t="shared" si="22"/>
        <v>2.9826181601529992E-3</v>
      </c>
      <c r="M153" s="41">
        <v>87.120002999999997</v>
      </c>
      <c r="N153" s="37">
        <f t="shared" si="23"/>
        <v>2.1576032147936509E-2</v>
      </c>
      <c r="O153" s="41">
        <v>80.129997000000003</v>
      </c>
      <c r="P153" s="37">
        <f t="shared" si="24"/>
        <v>-8.5375278396435314E-3</v>
      </c>
    </row>
    <row r="154" spans="2:16" x14ac:dyDescent="0.45">
      <c r="B154" s="39">
        <v>42702</v>
      </c>
      <c r="C154" s="41">
        <v>55.310001</v>
      </c>
      <c r="D154" s="37">
        <f t="shared" si="18"/>
        <v>-4.6214880282294132E-2</v>
      </c>
      <c r="E154" s="41">
        <v>98.5</v>
      </c>
      <c r="F154" s="37">
        <f t="shared" si="19"/>
        <v>-3.2382108884840438E-3</v>
      </c>
      <c r="G154" s="41">
        <v>77.940002000000007</v>
      </c>
      <c r="H154" s="37">
        <f t="shared" si="20"/>
        <v>-8.523075836113907E-3</v>
      </c>
      <c r="I154" s="41">
        <v>48.060001</v>
      </c>
      <c r="J154" s="37">
        <f t="shared" si="21"/>
        <v>-3.8415346138455327E-2</v>
      </c>
      <c r="K154" s="41">
        <v>59.25</v>
      </c>
      <c r="L154" s="37">
        <f t="shared" si="22"/>
        <v>-2.1146522734949932E-2</v>
      </c>
      <c r="M154" s="41">
        <v>87.040001000000004</v>
      </c>
      <c r="N154" s="37">
        <f t="shared" si="23"/>
        <v>-9.1829657076565119E-4</v>
      </c>
      <c r="O154" s="41">
        <v>75.720000999999996</v>
      </c>
      <c r="P154" s="37">
        <f t="shared" si="24"/>
        <v>-5.5035519344896602E-2</v>
      </c>
    </row>
    <row r="155" spans="2:16" x14ac:dyDescent="0.45">
      <c r="B155" s="39">
        <v>42709</v>
      </c>
      <c r="C155" s="41">
        <v>69.300003000000004</v>
      </c>
      <c r="D155" s="37">
        <f t="shared" si="18"/>
        <v>0.25293801748439682</v>
      </c>
      <c r="E155" s="41">
        <v>104.860001</v>
      </c>
      <c r="F155" s="37">
        <f t="shared" si="19"/>
        <v>6.4568538071065953E-2</v>
      </c>
      <c r="G155" s="41">
        <v>77.389999000000003</v>
      </c>
      <c r="H155" s="37">
        <f t="shared" si="20"/>
        <v>-7.0567486000321601E-3</v>
      </c>
      <c r="I155" s="41">
        <v>51.759998000000003</v>
      </c>
      <c r="J155" s="37">
        <f t="shared" si="21"/>
        <v>7.6987035435142903E-2</v>
      </c>
      <c r="K155" s="41">
        <v>61.970001000000003</v>
      </c>
      <c r="L155" s="37">
        <f t="shared" si="22"/>
        <v>4.5907189873417777E-2</v>
      </c>
      <c r="M155" s="41">
        <v>89</v>
      </c>
      <c r="N155" s="37">
        <f t="shared" si="23"/>
        <v>2.2518370605257645E-2</v>
      </c>
      <c r="O155" s="41">
        <v>79.139999000000003</v>
      </c>
      <c r="P155" s="37">
        <f t="shared" si="24"/>
        <v>4.516637552606486E-2</v>
      </c>
    </row>
    <row r="156" spans="2:16" x14ac:dyDescent="0.45">
      <c r="B156" s="39">
        <v>42716</v>
      </c>
      <c r="C156" s="41">
        <v>66.419998000000007</v>
      </c>
      <c r="D156" s="37">
        <f t="shared" si="18"/>
        <v>-4.1558511909443881E-2</v>
      </c>
      <c r="E156" s="41">
        <v>103.910004</v>
      </c>
      <c r="F156" s="37">
        <f t="shared" si="19"/>
        <v>-9.0596699498409899E-3</v>
      </c>
      <c r="G156" s="41">
        <v>76.75</v>
      </c>
      <c r="H156" s="37">
        <f t="shared" si="20"/>
        <v>-8.2697894853313424E-3</v>
      </c>
      <c r="I156" s="41">
        <v>50.049999</v>
      </c>
      <c r="J156" s="37">
        <f t="shared" si="21"/>
        <v>-3.3037076237908726E-2</v>
      </c>
      <c r="K156" s="41">
        <v>62.299999</v>
      </c>
      <c r="L156" s="37">
        <f t="shared" si="22"/>
        <v>5.3251249745823988E-3</v>
      </c>
      <c r="M156" s="41">
        <v>91.18</v>
      </c>
      <c r="N156" s="37">
        <f t="shared" si="23"/>
        <v>2.4494382022471988E-2</v>
      </c>
      <c r="O156" s="41">
        <v>78.349997999999999</v>
      </c>
      <c r="P156" s="37">
        <f t="shared" si="24"/>
        <v>-9.9823225926500662E-3</v>
      </c>
    </row>
    <row r="157" spans="2:16" x14ac:dyDescent="0.45">
      <c r="B157" s="39">
        <v>42723</v>
      </c>
      <c r="C157" s="41">
        <v>64.410004000000001</v>
      </c>
      <c r="D157" s="37">
        <f t="shared" si="18"/>
        <v>-3.0261879863350882E-2</v>
      </c>
      <c r="E157" s="41">
        <v>105.150002</v>
      </c>
      <c r="F157" s="37">
        <f t="shared" si="19"/>
        <v>1.19333842004279E-2</v>
      </c>
      <c r="G157" s="41">
        <v>73.5</v>
      </c>
      <c r="H157" s="37">
        <f t="shared" si="20"/>
        <v>-4.2345276872964167E-2</v>
      </c>
      <c r="I157" s="41">
        <v>51.169998</v>
      </c>
      <c r="J157" s="37">
        <f t="shared" si="21"/>
        <v>2.2377602844707349E-2</v>
      </c>
      <c r="K157" s="41">
        <v>63.240001999999997</v>
      </c>
      <c r="L157" s="37">
        <f t="shared" si="22"/>
        <v>1.5088330900294192E-2</v>
      </c>
      <c r="M157" s="41">
        <v>90.709998999999996</v>
      </c>
      <c r="N157" s="37">
        <f t="shared" si="23"/>
        <v>-5.1546501425752417E-3</v>
      </c>
      <c r="O157" s="41">
        <v>78.150002000000001</v>
      </c>
      <c r="P157" s="37">
        <f t="shared" si="24"/>
        <v>-2.5525973848780281E-3</v>
      </c>
    </row>
    <row r="158" spans="2:16" x14ac:dyDescent="0.45">
      <c r="B158" s="39">
        <v>42730</v>
      </c>
      <c r="C158" s="41">
        <v>64.989998</v>
      </c>
      <c r="D158" s="37">
        <f t="shared" si="18"/>
        <v>9.0047192047992917E-3</v>
      </c>
      <c r="E158" s="41">
        <v>104.220001</v>
      </c>
      <c r="F158" s="37">
        <f t="shared" si="19"/>
        <v>-8.8445171879312397E-3</v>
      </c>
      <c r="G158" s="41">
        <v>72.230002999999996</v>
      </c>
      <c r="H158" s="37">
        <f t="shared" si="20"/>
        <v>-1.7278870748299369E-2</v>
      </c>
      <c r="I158" s="41">
        <v>51.080002</v>
      </c>
      <c r="J158" s="37">
        <f t="shared" si="21"/>
        <v>-1.7587649700513824E-3</v>
      </c>
      <c r="K158" s="41">
        <v>62.139999000000003</v>
      </c>
      <c r="L158" s="37">
        <f t="shared" si="22"/>
        <v>-1.7394101284183925E-2</v>
      </c>
      <c r="M158" s="41">
        <v>90.260002</v>
      </c>
      <c r="N158" s="37">
        <f t="shared" si="23"/>
        <v>-4.9608312750614872E-3</v>
      </c>
      <c r="O158" s="41">
        <v>78.019997000000004</v>
      </c>
      <c r="P158" s="37">
        <f t="shared" si="24"/>
        <v>-1.6635316272928188E-3</v>
      </c>
    </row>
    <row r="159" spans="2:16" x14ac:dyDescent="0.45">
      <c r="B159" s="39">
        <v>42737</v>
      </c>
      <c r="C159" s="41">
        <v>68.269997000000004</v>
      </c>
      <c r="D159" s="37">
        <f t="shared" si="18"/>
        <v>5.0469289135845238E-2</v>
      </c>
      <c r="E159" s="41">
        <v>108.980003</v>
      </c>
      <c r="F159" s="37">
        <f t="shared" si="19"/>
        <v>4.5672634372743867E-2</v>
      </c>
      <c r="G159" s="41">
        <v>71.440002000000007</v>
      </c>
      <c r="H159" s="37">
        <f t="shared" si="20"/>
        <v>-1.0937297067535627E-2</v>
      </c>
      <c r="I159" s="41">
        <v>49.34</v>
      </c>
      <c r="J159" s="37">
        <f t="shared" si="21"/>
        <v>-3.4064250819723869E-2</v>
      </c>
      <c r="K159" s="41">
        <v>62.84</v>
      </c>
      <c r="L159" s="37">
        <f t="shared" si="22"/>
        <v>1.1264902015849731E-2</v>
      </c>
      <c r="M159" s="41">
        <v>88.5</v>
      </c>
      <c r="N159" s="37">
        <f t="shared" si="23"/>
        <v>-1.949924618880465E-2</v>
      </c>
      <c r="O159" s="41">
        <v>82.209998999999996</v>
      </c>
      <c r="P159" s="37">
        <f t="shared" si="24"/>
        <v>5.3704206115260326E-2</v>
      </c>
    </row>
    <row r="160" spans="2:16" x14ac:dyDescent="0.45">
      <c r="B160" s="39">
        <v>42744</v>
      </c>
      <c r="C160" s="41">
        <v>67.919998000000007</v>
      </c>
      <c r="D160" s="37">
        <f t="shared" si="18"/>
        <v>-5.1266883752755519E-3</v>
      </c>
      <c r="E160" s="41">
        <v>108.05999799999999</v>
      </c>
      <c r="F160" s="37">
        <f t="shared" si="19"/>
        <v>-8.4419615954681466E-3</v>
      </c>
      <c r="G160" s="41">
        <v>70.190002000000007</v>
      </c>
      <c r="H160" s="37">
        <f t="shared" si="20"/>
        <v>-1.7497199958085106E-2</v>
      </c>
      <c r="I160" s="41">
        <v>47.049999</v>
      </c>
      <c r="J160" s="37">
        <f t="shared" si="21"/>
        <v>-4.6412667207134245E-2</v>
      </c>
      <c r="K160" s="41">
        <v>62.700001</v>
      </c>
      <c r="L160" s="37">
        <f t="shared" si="22"/>
        <v>-2.2278644175684767E-3</v>
      </c>
      <c r="M160" s="41">
        <v>86.349997999999999</v>
      </c>
      <c r="N160" s="37">
        <f t="shared" si="23"/>
        <v>-2.4293807909604528E-2</v>
      </c>
      <c r="O160" s="41">
        <v>81.169998000000007</v>
      </c>
      <c r="P160" s="37">
        <f t="shared" si="24"/>
        <v>-1.265054145055992E-2</v>
      </c>
    </row>
    <row r="161" spans="2:16" x14ac:dyDescent="0.45">
      <c r="B161" s="39">
        <v>42751</v>
      </c>
      <c r="C161" s="41">
        <v>67.319999999999993</v>
      </c>
      <c r="D161" s="37">
        <f t="shared" si="18"/>
        <v>-8.8338930752031759E-3</v>
      </c>
      <c r="E161" s="41">
        <v>107.660004</v>
      </c>
      <c r="F161" s="37">
        <f t="shared" si="19"/>
        <v>-3.7015917768200629E-3</v>
      </c>
      <c r="G161" s="41">
        <v>64.099997999999999</v>
      </c>
      <c r="H161" s="37">
        <f t="shared" si="20"/>
        <v>-8.6764550882902192E-2</v>
      </c>
      <c r="I161" s="41">
        <v>47.139999000000003</v>
      </c>
      <c r="J161" s="37">
        <f t="shared" si="21"/>
        <v>1.9128587016548802E-3</v>
      </c>
      <c r="K161" s="41">
        <v>62.740001999999997</v>
      </c>
      <c r="L161" s="37">
        <f t="shared" si="22"/>
        <v>6.3797447148360685E-4</v>
      </c>
      <c r="M161" s="41">
        <v>85.889999000000003</v>
      </c>
      <c r="N161" s="37">
        <f t="shared" si="23"/>
        <v>-5.3271454621226077E-3</v>
      </c>
      <c r="O161" s="41">
        <v>81.839995999999999</v>
      </c>
      <c r="P161" s="37">
        <f t="shared" si="24"/>
        <v>8.2542567020882831E-3</v>
      </c>
    </row>
    <row r="162" spans="2:16" x14ac:dyDescent="0.45">
      <c r="B162" s="39">
        <v>42758</v>
      </c>
      <c r="C162" s="41">
        <v>66.819999999999993</v>
      </c>
      <c r="D162" s="37">
        <f t="shared" si="18"/>
        <v>-7.4272133095662513E-3</v>
      </c>
      <c r="E162" s="41">
        <v>109.300003</v>
      </c>
      <c r="F162" s="37">
        <f t="shared" si="19"/>
        <v>1.5233131516510097E-2</v>
      </c>
      <c r="G162" s="41">
        <v>63.700001</v>
      </c>
      <c r="H162" s="37">
        <f t="shared" si="20"/>
        <v>-6.2402030028144316E-3</v>
      </c>
      <c r="I162" s="41">
        <v>49.400002000000001</v>
      </c>
      <c r="J162" s="37">
        <f t="shared" si="21"/>
        <v>4.794236419054649E-2</v>
      </c>
      <c r="K162" s="41">
        <v>65.779999000000004</v>
      </c>
      <c r="L162" s="37">
        <f t="shared" si="22"/>
        <v>4.8453887521393561E-2</v>
      </c>
      <c r="M162" s="41">
        <v>85.510002</v>
      </c>
      <c r="N162" s="37">
        <f t="shared" si="23"/>
        <v>-4.424228716081403E-3</v>
      </c>
      <c r="O162" s="41">
        <v>83.769997000000004</v>
      </c>
      <c r="P162" s="37">
        <f t="shared" si="24"/>
        <v>2.3582613567087716E-2</v>
      </c>
    </row>
    <row r="163" spans="2:16" x14ac:dyDescent="0.45">
      <c r="B163" s="39">
        <v>42765</v>
      </c>
      <c r="C163" s="41">
        <v>66.389999000000003</v>
      </c>
      <c r="D163" s="37">
        <f t="shared" si="18"/>
        <v>-6.4352140077819538E-3</v>
      </c>
      <c r="E163" s="41">
        <v>110.300003</v>
      </c>
      <c r="F163" s="37">
        <f t="shared" si="19"/>
        <v>9.1491305814511269E-3</v>
      </c>
      <c r="G163" s="41">
        <v>63.75</v>
      </c>
      <c r="H163" s="37">
        <f t="shared" si="20"/>
        <v>7.8491364544876034E-4</v>
      </c>
      <c r="I163" s="41">
        <v>52.98</v>
      </c>
      <c r="J163" s="37">
        <f t="shared" si="21"/>
        <v>7.2469592207708738E-2</v>
      </c>
      <c r="K163" s="41">
        <v>63.68</v>
      </c>
      <c r="L163" s="37">
        <f t="shared" si="22"/>
        <v>-3.192458242512293E-2</v>
      </c>
      <c r="M163" s="41">
        <v>83.540001000000004</v>
      </c>
      <c r="N163" s="37">
        <f t="shared" si="23"/>
        <v>-2.3038252297082115E-2</v>
      </c>
      <c r="O163" s="41">
        <v>86.080001999999993</v>
      </c>
      <c r="P163" s="37">
        <f t="shared" si="24"/>
        <v>2.7575565031952784E-2</v>
      </c>
    </row>
    <row r="164" spans="2:16" x14ac:dyDescent="0.45">
      <c r="B164" s="39">
        <v>42772</v>
      </c>
      <c r="C164" s="41">
        <v>67.620002999999997</v>
      </c>
      <c r="D164" s="37">
        <f t="shared" si="18"/>
        <v>1.8526947108403989E-2</v>
      </c>
      <c r="E164" s="41">
        <v>109.260002</v>
      </c>
      <c r="F164" s="37">
        <f t="shared" si="19"/>
        <v>-9.4288392721077596E-3</v>
      </c>
      <c r="G164" s="41">
        <v>65.730002999999996</v>
      </c>
      <c r="H164" s="37">
        <f t="shared" si="20"/>
        <v>3.1058870588235237E-2</v>
      </c>
      <c r="I164" s="41">
        <v>57.029998999999997</v>
      </c>
      <c r="J164" s="37">
        <f t="shared" si="21"/>
        <v>7.6443922234805589E-2</v>
      </c>
      <c r="K164" s="41">
        <v>64</v>
      </c>
      <c r="L164" s="37">
        <f t="shared" si="22"/>
        <v>5.0251256281407079E-3</v>
      </c>
      <c r="M164" s="41">
        <v>82.519997000000004</v>
      </c>
      <c r="N164" s="37">
        <f t="shared" si="23"/>
        <v>-1.2209767629760983E-2</v>
      </c>
      <c r="O164" s="41">
        <v>85.900002000000001</v>
      </c>
      <c r="P164" s="37">
        <f t="shared" si="24"/>
        <v>-2.0910780183298859E-3</v>
      </c>
    </row>
    <row r="165" spans="2:16" x14ac:dyDescent="0.45">
      <c r="B165" s="39">
        <v>42779</v>
      </c>
      <c r="C165" s="41">
        <v>66.730002999999996</v>
      </c>
      <c r="D165" s="37">
        <f t="shared" si="18"/>
        <v>-1.3161785869781766E-2</v>
      </c>
      <c r="E165" s="41">
        <v>110.05999799999999</v>
      </c>
      <c r="F165" s="37">
        <f t="shared" si="19"/>
        <v>7.3219475137845328E-3</v>
      </c>
      <c r="G165" s="41">
        <v>65.790001000000004</v>
      </c>
      <c r="H165" s="37">
        <f t="shared" si="20"/>
        <v>9.1279472480789825E-4</v>
      </c>
      <c r="I165" s="41">
        <v>57.709999000000003</v>
      </c>
      <c r="J165" s="37">
        <f t="shared" si="21"/>
        <v>1.1923549218368509E-2</v>
      </c>
      <c r="K165" s="41">
        <v>64.620002999999997</v>
      </c>
      <c r="L165" s="37">
        <f t="shared" si="22"/>
        <v>9.6875468749999527E-3</v>
      </c>
      <c r="M165" s="41">
        <v>81.760002</v>
      </c>
      <c r="N165" s="37">
        <f t="shared" si="23"/>
        <v>-9.2098282553258401E-3</v>
      </c>
      <c r="O165" s="41">
        <v>87.459998999999996</v>
      </c>
      <c r="P165" s="37">
        <f t="shared" si="24"/>
        <v>1.8160616573675931E-2</v>
      </c>
    </row>
    <row r="166" spans="2:16" x14ac:dyDescent="0.45">
      <c r="B166" s="39">
        <v>42786</v>
      </c>
      <c r="C166" s="41">
        <v>65.319999999999993</v>
      </c>
      <c r="D166" s="37">
        <f t="shared" si="18"/>
        <v>-2.1129970577103127E-2</v>
      </c>
      <c r="E166" s="41">
        <v>110.32</v>
      </c>
      <c r="F166" s="37">
        <f t="shared" si="19"/>
        <v>2.3623660251202265E-3</v>
      </c>
      <c r="G166" s="41">
        <v>66.510002</v>
      </c>
      <c r="H166" s="37">
        <f t="shared" si="20"/>
        <v>1.0943927482232389E-2</v>
      </c>
      <c r="I166" s="41">
        <v>58.599997999999999</v>
      </c>
      <c r="J166" s="37">
        <f t="shared" si="21"/>
        <v>1.54219202117816E-2</v>
      </c>
      <c r="K166" s="41">
        <v>64.620002999999997</v>
      </c>
      <c r="L166" s="37">
        <f t="shared" si="22"/>
        <v>0</v>
      </c>
      <c r="M166" s="41">
        <v>81.080001999999993</v>
      </c>
      <c r="N166" s="37">
        <f t="shared" si="23"/>
        <v>-8.3170252368634581E-3</v>
      </c>
      <c r="O166" s="41">
        <v>88.43</v>
      </c>
      <c r="P166" s="37">
        <f t="shared" si="24"/>
        <v>1.1090795919172267E-2</v>
      </c>
    </row>
    <row r="167" spans="2:16" x14ac:dyDescent="0.45">
      <c r="B167" s="39">
        <v>42793</v>
      </c>
      <c r="C167" s="41">
        <v>65.699996999999996</v>
      </c>
      <c r="D167" s="37">
        <f t="shared" si="18"/>
        <v>5.8174678505817983E-3</v>
      </c>
      <c r="E167" s="41">
        <v>111.239998</v>
      </c>
      <c r="F167" s="37">
        <f t="shared" si="19"/>
        <v>8.3393582306019471E-3</v>
      </c>
      <c r="G167" s="41">
        <v>57.349997999999999</v>
      </c>
      <c r="H167" s="37">
        <f t="shared" si="20"/>
        <v>-0.13772370657874888</v>
      </c>
      <c r="I167" s="41">
        <v>60.580002</v>
      </c>
      <c r="J167" s="37">
        <f t="shared" si="21"/>
        <v>3.3788465317012482E-2</v>
      </c>
      <c r="K167" s="41">
        <v>64.25</v>
      </c>
      <c r="L167" s="37">
        <f t="shared" si="22"/>
        <v>-5.7258276512304864E-3</v>
      </c>
      <c r="M167" s="41">
        <v>82.459998999999996</v>
      </c>
      <c r="N167" s="37">
        <f t="shared" si="23"/>
        <v>1.7020189516028912E-2</v>
      </c>
      <c r="O167" s="41">
        <v>88.790001000000004</v>
      </c>
      <c r="P167" s="37">
        <f t="shared" si="24"/>
        <v>4.0710279316973526E-3</v>
      </c>
    </row>
    <row r="168" spans="2:16" x14ac:dyDescent="0.45">
      <c r="B168" s="39">
        <v>42800</v>
      </c>
      <c r="C168" s="41">
        <v>65.080001999999993</v>
      </c>
      <c r="D168" s="37">
        <f t="shared" si="18"/>
        <v>-9.436758421769836E-3</v>
      </c>
      <c r="E168" s="41">
        <v>110.91999800000001</v>
      </c>
      <c r="F168" s="37">
        <f t="shared" si="19"/>
        <v>-2.8766631225577077E-3</v>
      </c>
      <c r="G168" s="41">
        <v>55.360000999999997</v>
      </c>
      <c r="H168" s="37">
        <f t="shared" si="20"/>
        <v>-3.4699164244085978E-2</v>
      </c>
      <c r="I168" s="41">
        <v>71.370002999999997</v>
      </c>
      <c r="J168" s="37">
        <f t="shared" si="21"/>
        <v>0.17811159860971937</v>
      </c>
      <c r="K168" s="41">
        <v>64.930000000000007</v>
      </c>
      <c r="L168" s="37">
        <f t="shared" si="22"/>
        <v>1.0583657587548744E-2</v>
      </c>
      <c r="M168" s="41">
        <v>81.610000999999997</v>
      </c>
      <c r="N168" s="37">
        <f t="shared" si="23"/>
        <v>-1.030800400567552E-2</v>
      </c>
      <c r="O168" s="41">
        <v>89.730002999999996</v>
      </c>
      <c r="P168" s="37">
        <f t="shared" si="24"/>
        <v>1.0586800196116594E-2</v>
      </c>
    </row>
    <row r="169" spans="2:16" x14ac:dyDescent="0.45">
      <c r="B169" s="39">
        <v>42807</v>
      </c>
      <c r="C169" s="41">
        <v>64.040001000000004</v>
      </c>
      <c r="D169" s="37">
        <f t="shared" si="18"/>
        <v>-1.5980346773806026E-2</v>
      </c>
      <c r="E169" s="41">
        <v>111.760002</v>
      </c>
      <c r="F169" s="37">
        <f t="shared" si="19"/>
        <v>7.5730618026155503E-3</v>
      </c>
      <c r="G169" s="41">
        <v>54.290000999999997</v>
      </c>
      <c r="H169" s="37">
        <f t="shared" si="20"/>
        <v>-1.9328034332947362E-2</v>
      </c>
      <c r="I169" s="41">
        <v>77.370002999999997</v>
      </c>
      <c r="J169" s="37">
        <f t="shared" si="21"/>
        <v>8.4068932994160031E-2</v>
      </c>
      <c r="K169" s="41">
        <v>64.870002999999997</v>
      </c>
      <c r="L169" s="37">
        <f t="shared" si="22"/>
        <v>-9.2402587401832503E-4</v>
      </c>
      <c r="M169" s="41">
        <v>82</v>
      </c>
      <c r="N169" s="37">
        <f t="shared" si="23"/>
        <v>4.7788138122924796E-3</v>
      </c>
      <c r="O169" s="41">
        <v>90.239998</v>
      </c>
      <c r="P169" s="37">
        <f t="shared" si="24"/>
        <v>5.6836619073778877E-3</v>
      </c>
    </row>
    <row r="170" spans="2:16" x14ac:dyDescent="0.45">
      <c r="B170" s="39">
        <v>42814</v>
      </c>
      <c r="C170" s="41">
        <v>63.689999</v>
      </c>
      <c r="D170" s="37">
        <f t="shared" si="18"/>
        <v>-5.4653653112841684E-3</v>
      </c>
      <c r="E170" s="41">
        <v>112.139999</v>
      </c>
      <c r="F170" s="37">
        <f t="shared" si="19"/>
        <v>3.4001162598404663E-3</v>
      </c>
      <c r="G170" s="41">
        <v>53.119999</v>
      </c>
      <c r="H170" s="37">
        <f t="shared" si="20"/>
        <v>-2.1550966631958556E-2</v>
      </c>
      <c r="I170" s="41">
        <v>80.290001000000004</v>
      </c>
      <c r="J170" s="37">
        <f t="shared" si="21"/>
        <v>3.7740699066536251E-2</v>
      </c>
      <c r="K170" s="41">
        <v>64.980002999999996</v>
      </c>
      <c r="L170" s="37">
        <f t="shared" si="22"/>
        <v>1.6956990120687899E-3</v>
      </c>
      <c r="M170" s="41">
        <v>81.230002999999996</v>
      </c>
      <c r="N170" s="37">
        <f t="shared" si="23"/>
        <v>-9.3902073170732143E-3</v>
      </c>
      <c r="O170" s="41">
        <v>89.190002000000007</v>
      </c>
      <c r="P170" s="37">
        <f t="shared" si="24"/>
        <v>-1.1635594229512207E-2</v>
      </c>
    </row>
    <row r="171" spans="2:16" x14ac:dyDescent="0.45">
      <c r="B171" s="39">
        <v>42821</v>
      </c>
      <c r="C171" s="41">
        <v>51.869999</v>
      </c>
      <c r="D171" s="37">
        <f t="shared" si="18"/>
        <v>-0.18558643720499982</v>
      </c>
      <c r="E171" s="41">
        <v>113.389999</v>
      </c>
      <c r="F171" s="37">
        <f t="shared" si="19"/>
        <v>1.1146780909102736E-2</v>
      </c>
      <c r="G171" s="41">
        <v>55.189999</v>
      </c>
      <c r="H171" s="37">
        <f t="shared" si="20"/>
        <v>3.8968374227567291E-2</v>
      </c>
      <c r="I171" s="41">
        <v>84.529999000000004</v>
      </c>
      <c r="J171" s="37">
        <f t="shared" si="21"/>
        <v>5.2808543370176313E-2</v>
      </c>
      <c r="K171" s="41">
        <v>65.860000999999997</v>
      </c>
      <c r="L171" s="37">
        <f t="shared" si="22"/>
        <v>1.3542597097140801E-2</v>
      </c>
      <c r="M171" s="41">
        <v>82.010002</v>
      </c>
      <c r="N171" s="37">
        <f t="shared" si="23"/>
        <v>9.6023509933885354E-3</v>
      </c>
      <c r="O171" s="41">
        <v>88.870002999999997</v>
      </c>
      <c r="P171" s="37">
        <f t="shared" si="24"/>
        <v>-3.5878348786224927E-3</v>
      </c>
    </row>
    <row r="172" spans="2:16" x14ac:dyDescent="0.45">
      <c r="B172" s="39">
        <v>42828</v>
      </c>
      <c r="C172" s="41">
        <v>50.630001</v>
      </c>
      <c r="D172" s="37">
        <f t="shared" si="18"/>
        <v>-2.3905880545708125E-2</v>
      </c>
      <c r="E172" s="41">
        <v>112.58000199999999</v>
      </c>
      <c r="F172" s="37">
        <f t="shared" si="19"/>
        <v>-7.1434606856289841E-3</v>
      </c>
      <c r="G172" s="41">
        <v>53.240001999999997</v>
      </c>
      <c r="H172" s="37">
        <f t="shared" si="20"/>
        <v>-3.5332434052046335E-2</v>
      </c>
      <c r="I172" s="41">
        <v>85.050003000000004</v>
      </c>
      <c r="J172" s="37">
        <f t="shared" si="21"/>
        <v>6.1517095250409283E-3</v>
      </c>
      <c r="K172" s="41">
        <v>65.680000000000007</v>
      </c>
      <c r="L172" s="37">
        <f t="shared" si="22"/>
        <v>-2.7330852910249742E-3</v>
      </c>
      <c r="M172" s="41">
        <v>82.760002</v>
      </c>
      <c r="N172" s="37">
        <f t="shared" si="23"/>
        <v>9.14522596890072E-3</v>
      </c>
      <c r="O172" s="41">
        <v>88.739998</v>
      </c>
      <c r="P172" s="37">
        <f t="shared" si="24"/>
        <v>-1.4628670598784276E-3</v>
      </c>
    </row>
    <row r="173" spans="2:16" x14ac:dyDescent="0.45">
      <c r="B173" s="39">
        <v>42835</v>
      </c>
      <c r="C173" s="41">
        <v>51.220001000000003</v>
      </c>
      <c r="D173" s="37">
        <f t="shared" si="18"/>
        <v>1.1653169827115022E-2</v>
      </c>
      <c r="E173" s="41">
        <v>113.199997</v>
      </c>
      <c r="F173" s="37">
        <f t="shared" si="19"/>
        <v>5.5071503729410397E-3</v>
      </c>
      <c r="G173" s="41">
        <v>53.389999000000003</v>
      </c>
      <c r="H173" s="37">
        <f t="shared" si="20"/>
        <v>2.8173740489342235E-3</v>
      </c>
      <c r="I173" s="41">
        <v>85.599997999999999</v>
      </c>
      <c r="J173" s="37">
        <f t="shared" si="21"/>
        <v>6.4667252275111093E-3</v>
      </c>
      <c r="K173" s="41">
        <v>64.949996999999996</v>
      </c>
      <c r="L173" s="37">
        <f t="shared" si="22"/>
        <v>-1.1114540194884448E-2</v>
      </c>
      <c r="M173" s="41">
        <v>81.690002000000007</v>
      </c>
      <c r="N173" s="37">
        <f t="shared" si="23"/>
        <v>-1.292895087170241E-2</v>
      </c>
      <c r="O173" s="41">
        <v>88.870002999999997</v>
      </c>
      <c r="P173" s="37">
        <f t="shared" si="24"/>
        <v>1.4650101750058305E-3</v>
      </c>
    </row>
    <row r="174" spans="2:16" x14ac:dyDescent="0.45">
      <c r="B174" s="39">
        <v>42842</v>
      </c>
      <c r="C174" s="41">
        <v>53.080002</v>
      </c>
      <c r="D174" s="37">
        <f t="shared" si="18"/>
        <v>3.6313958681882821E-2</v>
      </c>
      <c r="E174" s="41">
        <v>114.44000200000001</v>
      </c>
      <c r="F174" s="37">
        <f t="shared" si="19"/>
        <v>1.0954108064154902E-2</v>
      </c>
      <c r="G174" s="41">
        <v>54.779998999999997</v>
      </c>
      <c r="H174" s="37">
        <f t="shared" si="20"/>
        <v>2.6034838472276303E-2</v>
      </c>
      <c r="I174" s="41">
        <v>85.489998</v>
      </c>
      <c r="J174" s="37">
        <f t="shared" si="21"/>
        <v>-1.285046758996413E-3</v>
      </c>
      <c r="K174" s="41">
        <v>66.400002000000001</v>
      </c>
      <c r="L174" s="37">
        <f t="shared" si="22"/>
        <v>2.2324943294454724E-2</v>
      </c>
      <c r="M174" s="41">
        <v>80.690002000000007</v>
      </c>
      <c r="N174" s="37">
        <f t="shared" si="23"/>
        <v>-1.2241400116503853E-2</v>
      </c>
      <c r="O174" s="41">
        <v>91.150002000000001</v>
      </c>
      <c r="P174" s="37">
        <f t="shared" si="24"/>
        <v>2.5655439665057778E-2</v>
      </c>
    </row>
    <row r="175" spans="2:16" x14ac:dyDescent="0.45">
      <c r="B175" s="39">
        <v>42849</v>
      </c>
      <c r="C175" s="41">
        <v>52</v>
      </c>
      <c r="D175" s="37">
        <f t="shared" si="18"/>
        <v>-2.0346683483546221E-2</v>
      </c>
      <c r="E175" s="41">
        <v>115.599998</v>
      </c>
      <c r="F175" s="37">
        <f t="shared" si="19"/>
        <v>1.0136280843476326E-2</v>
      </c>
      <c r="G175" s="41">
        <v>55.849997999999999</v>
      </c>
      <c r="H175" s="37">
        <f t="shared" si="20"/>
        <v>1.9532658260910208E-2</v>
      </c>
      <c r="I175" s="41">
        <v>88.589995999999999</v>
      </c>
      <c r="J175" s="37">
        <f t="shared" si="21"/>
        <v>3.6261528512376379E-2</v>
      </c>
      <c r="K175" s="41">
        <v>68.459998999999996</v>
      </c>
      <c r="L175" s="37">
        <f t="shared" si="22"/>
        <v>3.1024050270359864E-2</v>
      </c>
      <c r="M175" s="41">
        <v>81.650002000000001</v>
      </c>
      <c r="N175" s="37">
        <f t="shared" si="23"/>
        <v>1.1897384759018765E-2</v>
      </c>
      <c r="O175" s="41">
        <v>91.220000999999996</v>
      </c>
      <c r="P175" s="37">
        <f t="shared" si="24"/>
        <v>7.6795390525603835E-4</v>
      </c>
    </row>
    <row r="176" spans="2:16" x14ac:dyDescent="0.45">
      <c r="B176" s="39">
        <v>42856</v>
      </c>
      <c r="C176" s="41">
        <v>51.950001</v>
      </c>
      <c r="D176" s="37">
        <f t="shared" si="18"/>
        <v>-9.6151923076922467E-4</v>
      </c>
      <c r="E176" s="41">
        <v>111.989998</v>
      </c>
      <c r="F176" s="37">
        <f t="shared" si="19"/>
        <v>-3.1228374242705432E-2</v>
      </c>
      <c r="G176" s="41">
        <v>57.32</v>
      </c>
      <c r="H176" s="37">
        <f t="shared" si="20"/>
        <v>2.6320538095632538E-2</v>
      </c>
      <c r="I176" s="41">
        <v>83.07</v>
      </c>
      <c r="J176" s="37">
        <f t="shared" si="21"/>
        <v>-6.2309473408261651E-2</v>
      </c>
      <c r="K176" s="41">
        <v>69</v>
      </c>
      <c r="L176" s="37">
        <f t="shared" si="22"/>
        <v>7.8878324260566197E-3</v>
      </c>
      <c r="M176" s="41">
        <v>82.019997000000004</v>
      </c>
      <c r="N176" s="37">
        <f t="shared" si="23"/>
        <v>4.5314757003925479E-3</v>
      </c>
      <c r="O176" s="41">
        <v>92.089995999999999</v>
      </c>
      <c r="P176" s="37">
        <f t="shared" si="24"/>
        <v>9.5373272359425103E-3</v>
      </c>
    </row>
    <row r="177" spans="2:16" x14ac:dyDescent="0.45">
      <c r="B177" s="39">
        <v>42863</v>
      </c>
      <c r="C177" s="41">
        <v>53.119999</v>
      </c>
      <c r="D177" s="37">
        <f t="shared" si="18"/>
        <v>2.2521616505839906E-2</v>
      </c>
      <c r="E177" s="41">
        <v>109.69000200000001</v>
      </c>
      <c r="F177" s="37">
        <f t="shared" si="19"/>
        <v>-2.0537512644655937E-2</v>
      </c>
      <c r="G177" s="41">
        <v>55.799999</v>
      </c>
      <c r="H177" s="37">
        <f t="shared" si="20"/>
        <v>-2.651781228192604E-2</v>
      </c>
      <c r="I177" s="41">
        <v>83.709998999999996</v>
      </c>
      <c r="J177" s="37">
        <f t="shared" si="21"/>
        <v>7.7043336944745775E-3</v>
      </c>
      <c r="K177" s="41">
        <v>68.379997000000003</v>
      </c>
      <c r="L177" s="37">
        <f t="shared" si="22"/>
        <v>-8.9855507246376365E-3</v>
      </c>
      <c r="M177" s="41">
        <v>82.550003000000004</v>
      </c>
      <c r="N177" s="37">
        <f t="shared" si="23"/>
        <v>6.4619119652003908E-3</v>
      </c>
      <c r="O177" s="41">
        <v>92.730002999999996</v>
      </c>
      <c r="P177" s="37">
        <f t="shared" si="24"/>
        <v>6.9497994114365814E-3</v>
      </c>
    </row>
    <row r="178" spans="2:16" x14ac:dyDescent="0.45">
      <c r="B178" s="39">
        <v>42870</v>
      </c>
      <c r="C178" s="41">
        <v>49.290000999999997</v>
      </c>
      <c r="D178" s="37">
        <f t="shared" si="18"/>
        <v>-7.2100867321176029E-2</v>
      </c>
      <c r="E178" s="41">
        <v>107.519997</v>
      </c>
      <c r="F178" s="37">
        <f t="shared" si="19"/>
        <v>-1.978307011061959E-2</v>
      </c>
      <c r="G178" s="41">
        <v>55.990001999999997</v>
      </c>
      <c r="H178" s="37">
        <f t="shared" si="20"/>
        <v>3.4050717456105555E-3</v>
      </c>
      <c r="I178" s="41">
        <v>87.5</v>
      </c>
      <c r="J178" s="37">
        <f t="shared" si="21"/>
        <v>4.5275367880484668E-2</v>
      </c>
      <c r="K178" s="41">
        <v>67.690002000000007</v>
      </c>
      <c r="L178" s="37">
        <f t="shared" si="22"/>
        <v>-1.0090597108391159E-2</v>
      </c>
      <c r="M178" s="41">
        <v>81.93</v>
      </c>
      <c r="N178" s="37">
        <f t="shared" si="23"/>
        <v>-7.5106357052463942E-3</v>
      </c>
      <c r="O178" s="41">
        <v>92.480002999999996</v>
      </c>
      <c r="P178" s="37">
        <f t="shared" si="24"/>
        <v>-2.6959990500593427E-3</v>
      </c>
    </row>
    <row r="179" spans="2:16" x14ac:dyDescent="0.45">
      <c r="B179" s="39">
        <v>42877</v>
      </c>
      <c r="C179" s="41">
        <v>48.23</v>
      </c>
      <c r="D179" s="37">
        <f t="shared" si="18"/>
        <v>-2.1505396195873477E-2</v>
      </c>
      <c r="E179" s="41">
        <v>108.410004</v>
      </c>
      <c r="F179" s="37">
        <f t="shared" si="19"/>
        <v>8.2775950970310867E-3</v>
      </c>
      <c r="G179" s="41">
        <v>54.400002000000001</v>
      </c>
      <c r="H179" s="37">
        <f t="shared" si="20"/>
        <v>-2.8397927187071657E-2</v>
      </c>
      <c r="I179" s="41">
        <v>94.669998000000007</v>
      </c>
      <c r="J179" s="37">
        <f t="shared" si="21"/>
        <v>8.1942834285714361E-2</v>
      </c>
      <c r="K179" s="41">
        <v>69.959998999999996</v>
      </c>
      <c r="L179" s="37">
        <f t="shared" si="22"/>
        <v>3.3535188845170802E-2</v>
      </c>
      <c r="M179" s="41">
        <v>81.550003000000004</v>
      </c>
      <c r="N179" s="37">
        <f t="shared" si="23"/>
        <v>-4.6380690833638834E-3</v>
      </c>
      <c r="O179" s="41">
        <v>94.669998000000007</v>
      </c>
      <c r="P179" s="37">
        <f t="shared" si="24"/>
        <v>2.3680741013816904E-2</v>
      </c>
    </row>
    <row r="180" spans="2:16" x14ac:dyDescent="0.45">
      <c r="B180" s="39">
        <v>42884</v>
      </c>
      <c r="C180" s="41">
        <v>54.290000999999997</v>
      </c>
      <c r="D180" s="37">
        <f t="shared" si="18"/>
        <v>0.12564795770267467</v>
      </c>
      <c r="E180" s="41">
        <v>107.18</v>
      </c>
      <c r="F180" s="37">
        <f t="shared" si="19"/>
        <v>-1.1345853284905274E-2</v>
      </c>
      <c r="G180" s="41">
        <v>55.52</v>
      </c>
      <c r="H180" s="37">
        <f t="shared" si="20"/>
        <v>2.0588197772492774E-2</v>
      </c>
      <c r="I180" s="41">
        <v>94.389999000000003</v>
      </c>
      <c r="J180" s="37">
        <f t="shared" si="21"/>
        <v>-2.957631836012119E-3</v>
      </c>
      <c r="K180" s="41">
        <v>71.760002</v>
      </c>
      <c r="L180" s="37">
        <f t="shared" si="22"/>
        <v>2.572903124255339E-2</v>
      </c>
      <c r="M180" s="41">
        <v>79.5</v>
      </c>
      <c r="N180" s="37">
        <f t="shared" si="23"/>
        <v>-2.513798803906854E-2</v>
      </c>
      <c r="O180" s="41">
        <v>96.150002000000001</v>
      </c>
      <c r="P180" s="37">
        <f t="shared" si="24"/>
        <v>1.5633294932571921E-2</v>
      </c>
    </row>
    <row r="181" spans="2:16" x14ac:dyDescent="0.45">
      <c r="B181" s="39">
        <v>42891</v>
      </c>
      <c r="C181" s="41">
        <v>51.700001</v>
      </c>
      <c r="D181" s="37">
        <f t="shared" si="18"/>
        <v>-4.7706759113892751E-2</v>
      </c>
      <c r="E181" s="41">
        <v>105.620003</v>
      </c>
      <c r="F181" s="37">
        <f t="shared" si="19"/>
        <v>-1.4554926292218788E-2</v>
      </c>
      <c r="G181" s="41">
        <v>56.900002000000001</v>
      </c>
      <c r="H181" s="37">
        <f t="shared" si="20"/>
        <v>2.4855943804034535E-2</v>
      </c>
      <c r="I181" s="41">
        <v>87.239998</v>
      </c>
      <c r="J181" s="37">
        <f t="shared" si="21"/>
        <v>-7.5749561137298069E-2</v>
      </c>
      <c r="K181" s="41">
        <v>70.319999999999993</v>
      </c>
      <c r="L181" s="37">
        <f t="shared" si="22"/>
        <v>-2.0066916943508543E-2</v>
      </c>
      <c r="M181" s="41">
        <v>82.129997000000003</v>
      </c>
      <c r="N181" s="37">
        <f t="shared" si="23"/>
        <v>3.3081723270440289E-2</v>
      </c>
      <c r="O181" s="41">
        <v>94.559997999999993</v>
      </c>
      <c r="P181" s="37">
        <f t="shared" si="24"/>
        <v>-1.6536702724145626E-2</v>
      </c>
    </row>
    <row r="182" spans="2:16" x14ac:dyDescent="0.45">
      <c r="B182" s="39">
        <v>42898</v>
      </c>
      <c r="C182" s="41">
        <v>52.970001000000003</v>
      </c>
      <c r="D182" s="37">
        <f t="shared" si="18"/>
        <v>2.4564796430081366E-2</v>
      </c>
      <c r="E182" s="41">
        <v>105.510002</v>
      </c>
      <c r="F182" s="37">
        <f t="shared" si="19"/>
        <v>-1.0414788569926183E-3</v>
      </c>
      <c r="G182" s="41">
        <v>52.610000999999997</v>
      </c>
      <c r="H182" s="37">
        <f t="shared" si="20"/>
        <v>-7.5395445504553821E-2</v>
      </c>
      <c r="I182" s="41">
        <v>89.25</v>
      </c>
      <c r="J182" s="37">
        <f t="shared" si="21"/>
        <v>2.3039913412194257E-2</v>
      </c>
      <c r="K182" s="41">
        <v>70</v>
      </c>
      <c r="L182" s="37">
        <f t="shared" si="22"/>
        <v>-4.5506257110351708E-3</v>
      </c>
      <c r="M182" s="41">
        <v>83.489998</v>
      </c>
      <c r="N182" s="37">
        <f t="shared" si="23"/>
        <v>1.6559126381071178E-2</v>
      </c>
      <c r="O182" s="41">
        <v>94.169998000000007</v>
      </c>
      <c r="P182" s="37">
        <f t="shared" si="24"/>
        <v>-4.1243655694661327E-3</v>
      </c>
    </row>
    <row r="183" spans="2:16" x14ac:dyDescent="0.45">
      <c r="B183" s="39">
        <v>42905</v>
      </c>
      <c r="C183" s="41">
        <v>55.369999</v>
      </c>
      <c r="D183" s="37">
        <f t="shared" si="18"/>
        <v>4.5308626669650173E-2</v>
      </c>
      <c r="E183" s="41">
        <v>104.360001</v>
      </c>
      <c r="F183" s="37">
        <f t="shared" si="19"/>
        <v>-1.0899450082467094E-2</v>
      </c>
      <c r="G183" s="41">
        <v>50.759998000000003</v>
      </c>
      <c r="H183" s="37">
        <f t="shared" si="20"/>
        <v>-3.5164473766118989E-2</v>
      </c>
      <c r="I183" s="41">
        <v>94.690002000000007</v>
      </c>
      <c r="J183" s="37">
        <f t="shared" si="21"/>
        <v>6.0952403361344616E-2</v>
      </c>
      <c r="K183" s="41">
        <v>71.209998999999996</v>
      </c>
      <c r="L183" s="37">
        <f t="shared" si="22"/>
        <v>1.7285699999999946E-2</v>
      </c>
      <c r="M183" s="41">
        <v>81.610000999999997</v>
      </c>
      <c r="N183" s="37">
        <f t="shared" si="23"/>
        <v>-2.2517631393403591E-2</v>
      </c>
      <c r="O183" s="41">
        <v>95.580001999999993</v>
      </c>
      <c r="P183" s="37">
        <f t="shared" si="24"/>
        <v>1.4972964106890885E-2</v>
      </c>
    </row>
    <row r="184" spans="2:16" x14ac:dyDescent="0.45">
      <c r="B184" s="39">
        <v>42912</v>
      </c>
      <c r="C184" s="41">
        <v>59.669998</v>
      </c>
      <c r="D184" s="37">
        <f t="shared" si="18"/>
        <v>7.765936567923723E-2</v>
      </c>
      <c r="E184" s="41">
        <v>106.25</v>
      </c>
      <c r="F184" s="37">
        <f t="shared" si="19"/>
        <v>1.8110377365749577E-2</v>
      </c>
      <c r="G184" s="41">
        <v>52.290000999999997</v>
      </c>
      <c r="H184" s="37">
        <f t="shared" si="20"/>
        <v>3.0141904260910204E-2</v>
      </c>
      <c r="I184" s="41">
        <v>93.559997999999993</v>
      </c>
      <c r="J184" s="37">
        <f t="shared" si="21"/>
        <v>-1.1933720309774772E-2</v>
      </c>
      <c r="K184" s="41">
        <v>68.930000000000007</v>
      </c>
      <c r="L184" s="37">
        <f t="shared" si="22"/>
        <v>-3.2017961410166426E-2</v>
      </c>
      <c r="M184" s="41">
        <v>80.730002999999996</v>
      </c>
      <c r="N184" s="37">
        <f t="shared" si="23"/>
        <v>-1.078296764142915E-2</v>
      </c>
      <c r="O184" s="41">
        <v>93.779999000000004</v>
      </c>
      <c r="P184" s="37">
        <f t="shared" si="24"/>
        <v>-1.8832422707000883E-2</v>
      </c>
    </row>
    <row r="185" spans="2:16" x14ac:dyDescent="0.45">
      <c r="B185" s="39">
        <v>42919</v>
      </c>
      <c r="C185" s="41">
        <v>58.360000999999997</v>
      </c>
      <c r="D185" s="37">
        <f t="shared" si="18"/>
        <v>-2.1954031236937576E-2</v>
      </c>
      <c r="E185" s="41">
        <v>103.32</v>
      </c>
      <c r="F185" s="37">
        <f t="shared" si="19"/>
        <v>-2.7576470588235358E-2</v>
      </c>
      <c r="G185" s="41">
        <v>51.07</v>
      </c>
      <c r="H185" s="37">
        <f t="shared" si="20"/>
        <v>-2.3331439599704663E-2</v>
      </c>
      <c r="I185" s="41">
        <v>96.57</v>
      </c>
      <c r="J185" s="37">
        <f t="shared" si="21"/>
        <v>3.2171890384178933E-2</v>
      </c>
      <c r="K185" s="41">
        <v>69.459998999999996</v>
      </c>
      <c r="L185" s="37">
        <f t="shared" si="22"/>
        <v>7.6889453068328655E-3</v>
      </c>
      <c r="M185" s="41">
        <v>80.220000999999996</v>
      </c>
      <c r="N185" s="37">
        <f t="shared" si="23"/>
        <v>-6.3173786826193987E-3</v>
      </c>
      <c r="O185" s="41">
        <v>93.919998000000007</v>
      </c>
      <c r="P185" s="37">
        <f t="shared" si="24"/>
        <v>1.4928449721992756E-3</v>
      </c>
    </row>
    <row r="186" spans="2:16" x14ac:dyDescent="0.45">
      <c r="B186" s="39">
        <v>42926</v>
      </c>
      <c r="C186" s="41">
        <v>59.810001</v>
      </c>
      <c r="D186" s="37">
        <f t="shared" si="18"/>
        <v>2.4845784358365638E-2</v>
      </c>
      <c r="E186" s="41">
        <v>105.089996</v>
      </c>
      <c r="F186" s="37">
        <f t="shared" si="19"/>
        <v>1.7131204026326039E-2</v>
      </c>
      <c r="G186" s="41">
        <v>53.23</v>
      </c>
      <c r="H186" s="37">
        <f t="shared" si="20"/>
        <v>4.2294889367534692E-2</v>
      </c>
      <c r="I186" s="41">
        <v>100.709999</v>
      </c>
      <c r="J186" s="37">
        <f t="shared" si="21"/>
        <v>4.2870446308377379E-2</v>
      </c>
      <c r="K186" s="41">
        <v>72.779999000000004</v>
      </c>
      <c r="L186" s="37">
        <f t="shared" si="22"/>
        <v>4.7797294094403996E-2</v>
      </c>
      <c r="M186" s="41">
        <v>81.279999000000004</v>
      </c>
      <c r="N186" s="37">
        <f t="shared" si="23"/>
        <v>1.3213637332166168E-2</v>
      </c>
      <c r="O186" s="41">
        <v>96.93</v>
      </c>
      <c r="P186" s="37">
        <f t="shared" si="24"/>
        <v>3.2048573936298425E-2</v>
      </c>
    </row>
    <row r="187" spans="2:16" x14ac:dyDescent="0.45">
      <c r="B187" s="39">
        <v>42933</v>
      </c>
      <c r="C187" s="41">
        <v>61.939999</v>
      </c>
      <c r="D187" s="37">
        <f t="shared" si="18"/>
        <v>3.5612739748992824E-2</v>
      </c>
      <c r="E187" s="41">
        <v>107.089996</v>
      </c>
      <c r="F187" s="37">
        <f t="shared" si="19"/>
        <v>1.9031307223572453E-2</v>
      </c>
      <c r="G187" s="41">
        <v>54.84</v>
      </c>
      <c r="H187" s="37">
        <f t="shared" si="20"/>
        <v>3.0246101822280793E-2</v>
      </c>
      <c r="I187" s="41">
        <v>103.660004</v>
      </c>
      <c r="J187" s="37">
        <f t="shared" si="21"/>
        <v>2.929207654941993E-2</v>
      </c>
      <c r="K187" s="41">
        <v>73.790001000000004</v>
      </c>
      <c r="L187" s="37">
        <f t="shared" si="22"/>
        <v>1.3877466527582668E-2</v>
      </c>
      <c r="M187" s="41">
        <v>80.120002999999997</v>
      </c>
      <c r="N187" s="37">
        <f t="shared" si="23"/>
        <v>-1.4271604506294428E-2</v>
      </c>
      <c r="O187" s="41">
        <v>99.599997999999999</v>
      </c>
      <c r="P187" s="37">
        <f t="shared" si="24"/>
        <v>2.754563086763636E-2</v>
      </c>
    </row>
    <row r="188" spans="2:16" x14ac:dyDescent="0.45">
      <c r="B188" s="39">
        <v>42940</v>
      </c>
      <c r="C188" s="41">
        <v>61.830002</v>
      </c>
      <c r="D188" s="37">
        <f t="shared" si="18"/>
        <v>-1.7758637677730653E-3</v>
      </c>
      <c r="E188" s="41">
        <v>109.959999</v>
      </c>
      <c r="F188" s="37">
        <f t="shared" si="19"/>
        <v>2.6799916959563588E-2</v>
      </c>
      <c r="G188" s="41">
        <v>56.110000999999997</v>
      </c>
      <c r="H188" s="37">
        <f t="shared" si="20"/>
        <v>2.315829686360309E-2</v>
      </c>
      <c r="I188" s="41">
        <v>102.69000200000001</v>
      </c>
      <c r="J188" s="37">
        <f t="shared" si="21"/>
        <v>-9.3575338854896602E-3</v>
      </c>
      <c r="K188" s="41">
        <v>73.040001000000004</v>
      </c>
      <c r="L188" s="37">
        <f t="shared" si="22"/>
        <v>-1.0163978721182019E-2</v>
      </c>
      <c r="M188" s="41">
        <v>79.599997999999999</v>
      </c>
      <c r="N188" s="37">
        <f t="shared" si="23"/>
        <v>-6.4903267664630218E-3</v>
      </c>
      <c r="O188" s="41">
        <v>99.150002000000001</v>
      </c>
      <c r="P188" s="37">
        <f t="shared" si="24"/>
        <v>-4.518032219237582E-3</v>
      </c>
    </row>
    <row r="189" spans="2:16" x14ac:dyDescent="0.45">
      <c r="B189" s="39">
        <v>42947</v>
      </c>
      <c r="C189" s="41">
        <v>61.759998000000003</v>
      </c>
      <c r="D189" s="37">
        <f t="shared" si="18"/>
        <v>-1.132201160206938E-3</v>
      </c>
      <c r="E189" s="41">
        <v>107.69000200000001</v>
      </c>
      <c r="F189" s="37">
        <f t="shared" si="19"/>
        <v>-2.0643843403454282E-2</v>
      </c>
      <c r="G189" s="41">
        <v>57.580002</v>
      </c>
      <c r="H189" s="37">
        <f t="shared" si="20"/>
        <v>2.6198555940143427E-2</v>
      </c>
      <c r="I189" s="41">
        <v>109.05999799999999</v>
      </c>
      <c r="J189" s="37">
        <f t="shared" si="21"/>
        <v>6.2031316349570098E-2</v>
      </c>
      <c r="K189" s="41">
        <v>72.680000000000007</v>
      </c>
      <c r="L189" s="37">
        <f t="shared" si="22"/>
        <v>-4.9288197572724141E-3</v>
      </c>
      <c r="M189" s="41">
        <v>80.209998999999996</v>
      </c>
      <c r="N189" s="37">
        <f t="shared" si="23"/>
        <v>7.6633293382745681E-3</v>
      </c>
      <c r="O189" s="41">
        <v>100.889999</v>
      </c>
      <c r="P189" s="37">
        <f t="shared" si="24"/>
        <v>1.754913731620502E-2</v>
      </c>
    </row>
    <row r="190" spans="2:16" x14ac:dyDescent="0.45">
      <c r="B190" s="39">
        <v>42954</v>
      </c>
      <c r="C190" s="41">
        <v>59.759998000000003</v>
      </c>
      <c r="D190" s="37">
        <f t="shared" si="18"/>
        <v>-3.2383420737805077E-2</v>
      </c>
      <c r="E190" s="41">
        <v>101.989998</v>
      </c>
      <c r="F190" s="37">
        <f t="shared" si="19"/>
        <v>-5.2929741797200509E-2</v>
      </c>
      <c r="G190" s="41">
        <v>55.650002000000001</v>
      </c>
      <c r="H190" s="37">
        <f t="shared" si="20"/>
        <v>-3.3518581677020431E-2</v>
      </c>
      <c r="I190" s="41">
        <v>108.010002</v>
      </c>
      <c r="J190" s="37">
        <f t="shared" si="21"/>
        <v>-9.6276913557250664E-3</v>
      </c>
      <c r="K190" s="41">
        <v>72.5</v>
      </c>
      <c r="L190" s="37">
        <f t="shared" si="22"/>
        <v>-2.4766097963677325E-3</v>
      </c>
      <c r="M190" s="41">
        <v>78.209998999999996</v>
      </c>
      <c r="N190" s="37">
        <f t="shared" si="23"/>
        <v>-2.4934547125477463E-2</v>
      </c>
      <c r="O190" s="41">
        <v>100.089996</v>
      </c>
      <c r="P190" s="37">
        <f t="shared" si="24"/>
        <v>-7.9294579039494665E-3</v>
      </c>
    </row>
    <row r="191" spans="2:16" x14ac:dyDescent="0.45">
      <c r="B191" s="39">
        <v>42961</v>
      </c>
      <c r="C191" s="41">
        <v>58.130001</v>
      </c>
      <c r="D191" s="37">
        <f t="shared" si="18"/>
        <v>-2.7275720457688151E-2</v>
      </c>
      <c r="E191" s="41">
        <v>100.699997</v>
      </c>
      <c r="F191" s="37">
        <f t="shared" si="19"/>
        <v>-1.2648308905741951E-2</v>
      </c>
      <c r="G191" s="41">
        <v>55.650002000000001</v>
      </c>
      <c r="H191" s="37">
        <f t="shared" si="20"/>
        <v>0</v>
      </c>
      <c r="I191" s="41">
        <v>112.480003</v>
      </c>
      <c r="J191" s="37">
        <f t="shared" si="21"/>
        <v>4.1385065431255121E-2</v>
      </c>
      <c r="K191" s="41">
        <v>72.489998</v>
      </c>
      <c r="L191" s="37">
        <f t="shared" si="22"/>
        <v>-1.3795862068965609E-4</v>
      </c>
      <c r="M191" s="41">
        <v>76.639999000000003</v>
      </c>
      <c r="N191" s="37">
        <f t="shared" si="23"/>
        <v>-2.0074159571335543E-2</v>
      </c>
      <c r="O191" s="41">
        <v>102.510002</v>
      </c>
      <c r="P191" s="37">
        <f t="shared" si="24"/>
        <v>2.4178300496685012E-2</v>
      </c>
    </row>
    <row r="192" spans="2:16" x14ac:dyDescent="0.45">
      <c r="B192" s="39">
        <v>42968</v>
      </c>
      <c r="C192" s="41">
        <v>60.209999000000003</v>
      </c>
      <c r="D192" s="37">
        <f t="shared" si="18"/>
        <v>3.5781833205198177E-2</v>
      </c>
      <c r="E192" s="41">
        <v>102.410004</v>
      </c>
      <c r="F192" s="37">
        <f t="shared" si="19"/>
        <v>1.6981202094772701E-2</v>
      </c>
      <c r="G192" s="41">
        <v>55.009998000000003</v>
      </c>
      <c r="H192" s="37">
        <f t="shared" si="20"/>
        <v>-1.1500520700789869E-2</v>
      </c>
      <c r="I192" s="41">
        <v>113.68</v>
      </c>
      <c r="J192" s="37">
        <f t="shared" si="21"/>
        <v>1.0668536344189202E-2</v>
      </c>
      <c r="K192" s="41">
        <v>72.819999999999993</v>
      </c>
      <c r="L192" s="37">
        <f t="shared" si="22"/>
        <v>4.5523797641709588E-3</v>
      </c>
      <c r="M192" s="41">
        <v>76.720000999999996</v>
      </c>
      <c r="N192" s="37">
        <f t="shared" si="23"/>
        <v>1.0438674457706248E-3</v>
      </c>
      <c r="O192" s="41">
        <v>103.349998</v>
      </c>
      <c r="P192" s="37">
        <f t="shared" si="24"/>
        <v>8.1942833246652289E-3</v>
      </c>
    </row>
    <row r="193" spans="2:16" x14ac:dyDescent="0.45">
      <c r="B193" s="39">
        <v>42975</v>
      </c>
      <c r="C193" s="41">
        <v>61.689999</v>
      </c>
      <c r="D193" s="37">
        <f t="shared" si="18"/>
        <v>2.4580634854353623E-2</v>
      </c>
      <c r="E193" s="41">
        <v>101.5</v>
      </c>
      <c r="F193" s="37">
        <f t="shared" si="19"/>
        <v>-8.8858897027286575E-3</v>
      </c>
      <c r="G193" s="41">
        <v>56.220001000000003</v>
      </c>
      <c r="H193" s="37">
        <f t="shared" si="20"/>
        <v>2.19960560623907E-2</v>
      </c>
      <c r="I193" s="41">
        <v>117.05999799999999</v>
      </c>
      <c r="J193" s="37">
        <f t="shared" si="21"/>
        <v>2.9732565095003397E-2</v>
      </c>
      <c r="K193" s="41">
        <v>73.940002000000007</v>
      </c>
      <c r="L193" s="37">
        <f t="shared" si="22"/>
        <v>1.5380417467728835E-2</v>
      </c>
      <c r="M193" s="41">
        <v>76.569999999999993</v>
      </c>
      <c r="N193" s="37">
        <f t="shared" si="23"/>
        <v>-1.95517463562081E-3</v>
      </c>
      <c r="O193" s="41">
        <v>103.900002</v>
      </c>
      <c r="P193" s="37">
        <f t="shared" si="24"/>
        <v>5.3217611092745377E-3</v>
      </c>
    </row>
    <row r="194" spans="2:16" x14ac:dyDescent="0.45">
      <c r="B194" s="39">
        <v>42982</v>
      </c>
      <c r="C194" s="41">
        <v>62.34</v>
      </c>
      <c r="D194" s="37">
        <f t="shared" si="18"/>
        <v>1.053657011730545E-2</v>
      </c>
      <c r="E194" s="41">
        <v>97.07</v>
      </c>
      <c r="F194" s="37">
        <f t="shared" si="19"/>
        <v>-4.3645320197044403E-2</v>
      </c>
      <c r="G194" s="41">
        <v>57.27</v>
      </c>
      <c r="H194" s="37">
        <f t="shared" si="20"/>
        <v>1.867660941521505E-2</v>
      </c>
      <c r="I194" s="41">
        <v>122.540001</v>
      </c>
      <c r="J194" s="37">
        <f t="shared" si="21"/>
        <v>4.6813626291023952E-2</v>
      </c>
      <c r="K194" s="41">
        <v>73.980002999999996</v>
      </c>
      <c r="L194" s="37">
        <f t="shared" si="22"/>
        <v>5.4099268214774347E-4</v>
      </c>
      <c r="M194" s="41">
        <v>78.819999999999993</v>
      </c>
      <c r="N194" s="37">
        <f t="shared" si="23"/>
        <v>2.9384876583518352E-2</v>
      </c>
      <c r="O194" s="41">
        <v>104.43</v>
      </c>
      <c r="P194" s="37">
        <f t="shared" si="24"/>
        <v>5.1010393628289456E-3</v>
      </c>
    </row>
    <row r="195" spans="2:16" x14ac:dyDescent="0.45">
      <c r="B195" s="39">
        <v>42989</v>
      </c>
      <c r="C195" s="41">
        <v>60.599997999999999</v>
      </c>
      <c r="D195" s="37">
        <f t="shared" si="18"/>
        <v>-2.7911485402630797E-2</v>
      </c>
      <c r="E195" s="41">
        <v>98.519997000000004</v>
      </c>
      <c r="F195" s="37">
        <f t="shared" si="19"/>
        <v>1.4937642938086027E-2</v>
      </c>
      <c r="G195" s="41">
        <v>59.959999000000003</v>
      </c>
      <c r="H195" s="37">
        <f t="shared" si="20"/>
        <v>4.6970473197136375E-2</v>
      </c>
      <c r="I195" s="41">
        <v>119.800003</v>
      </c>
      <c r="J195" s="37">
        <f t="shared" si="21"/>
        <v>-2.2360029195690963E-2</v>
      </c>
      <c r="K195" s="41">
        <v>75.309997999999993</v>
      </c>
      <c r="L195" s="37">
        <f t="shared" si="22"/>
        <v>1.7977763531585648E-2</v>
      </c>
      <c r="M195" s="41">
        <v>80.069999999999993</v>
      </c>
      <c r="N195" s="37">
        <f t="shared" si="23"/>
        <v>1.5858919056077139E-2</v>
      </c>
      <c r="O195" s="41">
        <v>105.300003</v>
      </c>
      <c r="P195" s="37">
        <f t="shared" si="24"/>
        <v>8.3309681126112894E-3</v>
      </c>
    </row>
    <row r="196" spans="2:16" x14ac:dyDescent="0.45">
      <c r="B196" s="39">
        <v>42996</v>
      </c>
      <c r="C196" s="41">
        <v>58.139999000000003</v>
      </c>
      <c r="D196" s="37">
        <f t="shared" ref="D196:D259" si="25">(C196-C195)/C195</f>
        <v>-4.0594044244027801E-2</v>
      </c>
      <c r="E196" s="41">
        <v>98.599997999999999</v>
      </c>
      <c r="F196" s="37">
        <f t="shared" ref="F196:F259" si="26">(E196-E195)/E195</f>
        <v>8.1202803934307633E-4</v>
      </c>
      <c r="G196" s="41">
        <v>58.990001999999997</v>
      </c>
      <c r="H196" s="37">
        <f t="shared" ref="H196:H259" si="27">(G196-G195)/G195</f>
        <v>-1.6177401870870717E-2</v>
      </c>
      <c r="I196" s="41">
        <v>118.260002</v>
      </c>
      <c r="J196" s="37">
        <f t="shared" ref="J196:J259" si="28">(I196-I195)/I195</f>
        <v>-1.285476595522292E-2</v>
      </c>
      <c r="K196" s="41">
        <v>74.410004000000001</v>
      </c>
      <c r="L196" s="37">
        <f t="shared" ref="L196:L259" si="29">(K196-K195)/K195</f>
        <v>-1.1950524816107318E-2</v>
      </c>
      <c r="M196" s="41">
        <v>79.919998000000007</v>
      </c>
      <c r="N196" s="37">
        <f t="shared" ref="N196:N259" si="30">(M196-M195)/M195</f>
        <v>-1.8733857874358242E-3</v>
      </c>
      <c r="O196" s="41">
        <v>105.55999799999999</v>
      </c>
      <c r="P196" s="37">
        <f t="shared" ref="P196:P259" si="31">(O196-O195)/O195</f>
        <v>2.4690882487438232E-3</v>
      </c>
    </row>
    <row r="197" spans="2:16" x14ac:dyDescent="0.45">
      <c r="B197" s="39">
        <v>43003</v>
      </c>
      <c r="C197" s="41">
        <v>62.25</v>
      </c>
      <c r="D197" s="37">
        <f t="shared" si="25"/>
        <v>7.0691452884269854E-2</v>
      </c>
      <c r="E197" s="41">
        <v>98.57</v>
      </c>
      <c r="F197" s="37">
        <f t="shared" si="26"/>
        <v>-3.0423935708402537E-4</v>
      </c>
      <c r="G197" s="41">
        <v>59.009998000000003</v>
      </c>
      <c r="H197" s="37">
        <f t="shared" si="27"/>
        <v>3.3897269574607105E-4</v>
      </c>
      <c r="I197" s="41">
        <v>124.050003</v>
      </c>
      <c r="J197" s="37">
        <f t="shared" si="28"/>
        <v>4.8959926450872236E-2</v>
      </c>
      <c r="K197" s="41">
        <v>74.489998</v>
      </c>
      <c r="L197" s="37">
        <f t="shared" si="29"/>
        <v>1.0750436191348577E-3</v>
      </c>
      <c r="M197" s="41">
        <v>81.980002999999996</v>
      </c>
      <c r="N197" s="37">
        <f t="shared" si="30"/>
        <v>2.5775838983379221E-2</v>
      </c>
      <c r="O197" s="41">
        <v>105.239998</v>
      </c>
      <c r="P197" s="37">
        <f t="shared" si="31"/>
        <v>-3.0314513647489195E-3</v>
      </c>
    </row>
    <row r="198" spans="2:16" x14ac:dyDescent="0.45">
      <c r="B198" s="39">
        <v>43010</v>
      </c>
      <c r="C198" s="41">
        <v>61.299999</v>
      </c>
      <c r="D198" s="37">
        <f t="shared" si="25"/>
        <v>-1.526106024096386E-2</v>
      </c>
      <c r="E198" s="41">
        <v>100.07</v>
      </c>
      <c r="F198" s="37">
        <f t="shared" si="26"/>
        <v>1.5217611849447095E-2</v>
      </c>
      <c r="G198" s="41">
        <v>57.119999</v>
      </c>
      <c r="H198" s="37">
        <f t="shared" si="27"/>
        <v>-3.2028453890135755E-2</v>
      </c>
      <c r="I198" s="41">
        <v>109.19000200000001</v>
      </c>
      <c r="J198" s="37">
        <f t="shared" si="28"/>
        <v>-0.11979041225819234</v>
      </c>
      <c r="K198" s="41">
        <v>76</v>
      </c>
      <c r="L198" s="37">
        <f t="shared" si="29"/>
        <v>2.0271204732748148E-2</v>
      </c>
      <c r="M198" s="41">
        <v>81.709998999999996</v>
      </c>
      <c r="N198" s="37">
        <f t="shared" si="30"/>
        <v>-3.2935348880140949E-3</v>
      </c>
      <c r="O198" s="41">
        <v>106.730003</v>
      </c>
      <c r="P198" s="37">
        <f t="shared" si="31"/>
        <v>1.4158162564769304E-2</v>
      </c>
    </row>
    <row r="199" spans="2:16" x14ac:dyDescent="0.45">
      <c r="B199" s="39">
        <v>43017</v>
      </c>
      <c r="C199" s="41">
        <v>59.169998</v>
      </c>
      <c r="D199" s="37">
        <f t="shared" si="25"/>
        <v>-3.4747162067653541E-2</v>
      </c>
      <c r="E199" s="41">
        <v>97.379997000000003</v>
      </c>
      <c r="F199" s="37">
        <f t="shared" si="26"/>
        <v>-2.6881213150794347E-2</v>
      </c>
      <c r="G199" s="41">
        <v>60.849997999999999</v>
      </c>
      <c r="H199" s="37">
        <f t="shared" si="27"/>
        <v>6.5301104084403067E-2</v>
      </c>
      <c r="I199" s="41">
        <v>105</v>
      </c>
      <c r="J199" s="37">
        <f t="shared" si="28"/>
        <v>-3.8373495038492689E-2</v>
      </c>
      <c r="K199" s="41">
        <v>77.489998</v>
      </c>
      <c r="L199" s="37">
        <f t="shared" si="29"/>
        <v>1.9605236842105262E-2</v>
      </c>
      <c r="M199" s="41">
        <v>82.410004000000001</v>
      </c>
      <c r="N199" s="37">
        <f t="shared" si="30"/>
        <v>8.5669441753389863E-3</v>
      </c>
      <c r="O199" s="41">
        <v>108.660004</v>
      </c>
      <c r="P199" s="37">
        <f t="shared" si="31"/>
        <v>1.8083022072059758E-2</v>
      </c>
    </row>
    <row r="200" spans="2:16" x14ac:dyDescent="0.45">
      <c r="B200" s="39">
        <v>43024</v>
      </c>
      <c r="C200" s="41">
        <v>63.290000999999997</v>
      </c>
      <c r="D200" s="37">
        <f t="shared" si="25"/>
        <v>6.9629933061684357E-2</v>
      </c>
      <c r="E200" s="41">
        <v>99.400002000000001</v>
      </c>
      <c r="F200" s="37">
        <f t="shared" si="26"/>
        <v>2.0743531138124778E-2</v>
      </c>
      <c r="G200" s="41">
        <v>61.759998000000003</v>
      </c>
      <c r="H200" s="37">
        <f t="shared" si="27"/>
        <v>1.4954807393748866E-2</v>
      </c>
      <c r="I200" s="41">
        <v>96.440002000000007</v>
      </c>
      <c r="J200" s="37">
        <f t="shared" si="28"/>
        <v>-8.1523790476190405E-2</v>
      </c>
      <c r="K200" s="41">
        <v>78.809997999999993</v>
      </c>
      <c r="L200" s="37">
        <f t="shared" si="29"/>
        <v>1.7034456498501823E-2</v>
      </c>
      <c r="M200" s="41">
        <v>83.110000999999997</v>
      </c>
      <c r="N200" s="37">
        <f t="shared" si="30"/>
        <v>8.4940779762611857E-3</v>
      </c>
      <c r="O200" s="41">
        <v>107.550003</v>
      </c>
      <c r="P200" s="37">
        <f t="shared" si="31"/>
        <v>-1.0215359461978272E-2</v>
      </c>
    </row>
    <row r="201" spans="2:16" x14ac:dyDescent="0.45">
      <c r="B201" s="39">
        <v>43031</v>
      </c>
      <c r="C201" s="41">
        <v>62.400002000000001</v>
      </c>
      <c r="D201" s="37">
        <f t="shared" si="25"/>
        <v>-1.4062237098084357E-2</v>
      </c>
      <c r="E201" s="41">
        <v>98.309997999999993</v>
      </c>
      <c r="F201" s="37">
        <f t="shared" si="26"/>
        <v>-1.0965834789419898E-2</v>
      </c>
      <c r="G201" s="41">
        <v>60.259998000000003</v>
      </c>
      <c r="H201" s="37">
        <f t="shared" si="27"/>
        <v>-2.4287565553353804E-2</v>
      </c>
      <c r="I201" s="41">
        <v>95.279999000000004</v>
      </c>
      <c r="J201" s="37">
        <f t="shared" si="28"/>
        <v>-1.2028234922682842E-2</v>
      </c>
      <c r="K201" s="41">
        <v>83.809997999999993</v>
      </c>
      <c r="L201" s="37">
        <f t="shared" si="29"/>
        <v>6.3443727025598959E-2</v>
      </c>
      <c r="M201" s="41">
        <v>83.709998999999996</v>
      </c>
      <c r="N201" s="37">
        <f t="shared" si="30"/>
        <v>7.219323700886484E-3</v>
      </c>
      <c r="O201" s="41">
        <v>109.709999</v>
      </c>
      <c r="P201" s="37">
        <f t="shared" si="31"/>
        <v>2.0083644256151181E-2</v>
      </c>
    </row>
    <row r="202" spans="2:16" x14ac:dyDescent="0.45">
      <c r="B202" s="39">
        <v>43038</v>
      </c>
      <c r="C202" s="41">
        <v>61.150002000000001</v>
      </c>
      <c r="D202" s="37">
        <f t="shared" si="25"/>
        <v>-2.0032050639998376E-2</v>
      </c>
      <c r="E202" s="41">
        <v>98.639999000000003</v>
      </c>
      <c r="F202" s="37">
        <f t="shared" si="26"/>
        <v>3.356738955482534E-3</v>
      </c>
      <c r="G202" s="41">
        <v>59.360000999999997</v>
      </c>
      <c r="H202" s="37">
        <f t="shared" si="27"/>
        <v>-1.4935231162802331E-2</v>
      </c>
      <c r="I202" s="41">
        <v>93.910004000000001</v>
      </c>
      <c r="J202" s="37">
        <f t="shared" si="28"/>
        <v>-1.4378621057710159E-2</v>
      </c>
      <c r="K202" s="41">
        <v>84.139999000000003</v>
      </c>
      <c r="L202" s="37">
        <f t="shared" si="29"/>
        <v>3.9374896536808176E-3</v>
      </c>
      <c r="M202" s="41">
        <v>83.18</v>
      </c>
      <c r="N202" s="37">
        <f t="shared" si="30"/>
        <v>-6.3313702823003196E-3</v>
      </c>
      <c r="O202" s="41">
        <v>111.360001</v>
      </c>
      <c r="P202" s="37">
        <f t="shared" si="31"/>
        <v>1.5039668353292034E-2</v>
      </c>
    </row>
    <row r="203" spans="2:16" x14ac:dyDescent="0.45">
      <c r="B203" s="39">
        <v>43045</v>
      </c>
      <c r="C203" s="41">
        <v>64.870002999999997</v>
      </c>
      <c r="D203" s="37">
        <f t="shared" si="25"/>
        <v>6.0834029081470779E-2</v>
      </c>
      <c r="E203" s="41">
        <v>104.779999</v>
      </c>
      <c r="F203" s="37">
        <f t="shared" si="26"/>
        <v>6.2246553753513324E-2</v>
      </c>
      <c r="G203" s="41">
        <v>61.400002000000001</v>
      </c>
      <c r="H203" s="37">
        <f t="shared" si="27"/>
        <v>3.4366593086816222E-2</v>
      </c>
      <c r="I203" s="41">
        <v>96.410004000000001</v>
      </c>
      <c r="J203" s="37">
        <f t="shared" si="28"/>
        <v>2.6621231961612951E-2</v>
      </c>
      <c r="K203" s="41">
        <v>83.870002999999997</v>
      </c>
      <c r="L203" s="37">
        <f t="shared" si="29"/>
        <v>-3.2088899834667945E-3</v>
      </c>
      <c r="M203" s="41">
        <v>82.940002000000007</v>
      </c>
      <c r="N203" s="37">
        <f t="shared" si="30"/>
        <v>-2.8852849242606386E-3</v>
      </c>
      <c r="O203" s="41">
        <v>111.879997</v>
      </c>
      <c r="P203" s="37">
        <f t="shared" si="31"/>
        <v>4.6695042684132713E-3</v>
      </c>
    </row>
    <row r="204" spans="2:16" x14ac:dyDescent="0.45">
      <c r="B204" s="39">
        <v>43052</v>
      </c>
      <c r="C204" s="41">
        <v>66.309997999999993</v>
      </c>
      <c r="D204" s="37">
        <f t="shared" si="25"/>
        <v>2.2198164535309119E-2</v>
      </c>
      <c r="E204" s="41">
        <v>103.44000200000001</v>
      </c>
      <c r="F204" s="37">
        <f t="shared" si="26"/>
        <v>-1.2788671624247646E-2</v>
      </c>
      <c r="G204" s="41">
        <v>58.139999000000003</v>
      </c>
      <c r="H204" s="37">
        <f t="shared" si="27"/>
        <v>-5.3094509671188568E-2</v>
      </c>
      <c r="I204" s="41">
        <v>102.230003</v>
      </c>
      <c r="J204" s="37">
        <f t="shared" si="28"/>
        <v>6.0367168950641217E-2</v>
      </c>
      <c r="K204" s="41">
        <v>82.400002000000001</v>
      </c>
      <c r="L204" s="37">
        <f t="shared" si="29"/>
        <v>-1.7527136609259409E-2</v>
      </c>
      <c r="M204" s="41">
        <v>80.239998</v>
      </c>
      <c r="N204" s="37">
        <f t="shared" si="30"/>
        <v>-3.2553700685948941E-2</v>
      </c>
      <c r="O204" s="41">
        <v>109.82</v>
      </c>
      <c r="P204" s="37">
        <f t="shared" si="31"/>
        <v>-1.8412558591684711E-2</v>
      </c>
    </row>
    <row r="205" spans="2:16" x14ac:dyDescent="0.45">
      <c r="B205" s="39">
        <v>43059</v>
      </c>
      <c r="C205" s="41">
        <v>66.790001000000004</v>
      </c>
      <c r="D205" s="37">
        <f t="shared" si="25"/>
        <v>7.2387726508453621E-3</v>
      </c>
      <c r="E205" s="41">
        <v>102.639999</v>
      </c>
      <c r="F205" s="37">
        <f t="shared" si="26"/>
        <v>-7.7339809022819216E-3</v>
      </c>
      <c r="G205" s="41">
        <v>55.880001</v>
      </c>
      <c r="H205" s="37">
        <f t="shared" si="27"/>
        <v>-3.8871655295350159E-2</v>
      </c>
      <c r="I205" s="41">
        <v>106.019997</v>
      </c>
      <c r="J205" s="37">
        <f t="shared" si="28"/>
        <v>3.7073206385409258E-2</v>
      </c>
      <c r="K205" s="41">
        <v>83.260002</v>
      </c>
      <c r="L205" s="37">
        <f t="shared" si="29"/>
        <v>1.0436892950560843E-2</v>
      </c>
      <c r="M205" s="41">
        <v>81.419998000000007</v>
      </c>
      <c r="N205" s="37">
        <f t="shared" si="30"/>
        <v>1.4705882719488687E-2</v>
      </c>
      <c r="O205" s="41">
        <v>111.970001</v>
      </c>
      <c r="P205" s="37">
        <f t="shared" si="31"/>
        <v>1.9577499544709553E-2</v>
      </c>
    </row>
    <row r="206" spans="2:16" x14ac:dyDescent="0.45">
      <c r="B206" s="39">
        <v>43066</v>
      </c>
      <c r="C206" s="41">
        <v>67.220000999999996</v>
      </c>
      <c r="D206" s="37">
        <f t="shared" si="25"/>
        <v>6.4380894379683059E-3</v>
      </c>
      <c r="E206" s="41">
        <v>105.25</v>
      </c>
      <c r="F206" s="37">
        <f t="shared" si="26"/>
        <v>2.5428692765283412E-2</v>
      </c>
      <c r="G206" s="41">
        <v>59.509998000000003</v>
      </c>
      <c r="H206" s="37">
        <f t="shared" si="27"/>
        <v>6.4960575072287544E-2</v>
      </c>
      <c r="I206" s="41">
        <v>106.720001</v>
      </c>
      <c r="J206" s="37">
        <f t="shared" si="28"/>
        <v>6.6025657404988674E-3</v>
      </c>
      <c r="K206" s="41">
        <v>84.260002</v>
      </c>
      <c r="L206" s="37">
        <f t="shared" si="29"/>
        <v>1.2010569012477323E-2</v>
      </c>
      <c r="M206" s="41">
        <v>83.459998999999996</v>
      </c>
      <c r="N206" s="37">
        <f t="shared" si="30"/>
        <v>2.505528187313379E-2</v>
      </c>
      <c r="O206" s="41">
        <v>110.730003</v>
      </c>
      <c r="P206" s="37">
        <f t="shared" si="31"/>
        <v>-1.1074376966380486E-2</v>
      </c>
    </row>
    <row r="207" spans="2:16" x14ac:dyDescent="0.45">
      <c r="B207" s="39">
        <v>43073</v>
      </c>
      <c r="C207" s="41">
        <v>73.769997000000004</v>
      </c>
      <c r="D207" s="37">
        <f t="shared" si="25"/>
        <v>9.7441176771181651E-2</v>
      </c>
      <c r="E207" s="41">
        <v>104.230003</v>
      </c>
      <c r="F207" s="37">
        <f t="shared" si="26"/>
        <v>-9.6911828978622667E-3</v>
      </c>
      <c r="G207" s="41">
        <v>61.369999</v>
      </c>
      <c r="H207" s="37">
        <f t="shared" si="27"/>
        <v>3.125526907260183E-2</v>
      </c>
      <c r="I207" s="41">
        <v>100.839996</v>
      </c>
      <c r="J207" s="37">
        <f t="shared" si="28"/>
        <v>-5.5097497609656106E-2</v>
      </c>
      <c r="K207" s="41">
        <v>84.160004000000001</v>
      </c>
      <c r="L207" s="37">
        <f t="shared" si="29"/>
        <v>-1.1867789891578612E-3</v>
      </c>
      <c r="M207" s="41">
        <v>82.660004000000001</v>
      </c>
      <c r="N207" s="37">
        <f t="shared" si="30"/>
        <v>-9.5853703520892165E-3</v>
      </c>
      <c r="O207" s="41">
        <v>112.599998</v>
      </c>
      <c r="P207" s="37">
        <f t="shared" si="31"/>
        <v>1.6887879972332369E-2</v>
      </c>
    </row>
    <row r="208" spans="2:16" x14ac:dyDescent="0.45">
      <c r="B208" s="39">
        <v>43080</v>
      </c>
      <c r="C208" s="41">
        <v>75.819999999999993</v>
      </c>
      <c r="D208" s="37">
        <f t="shared" si="25"/>
        <v>2.7789115946419106E-2</v>
      </c>
      <c r="E208" s="41">
        <v>111.269997</v>
      </c>
      <c r="F208" s="37">
        <f t="shared" si="26"/>
        <v>6.7542874387137908E-2</v>
      </c>
      <c r="G208" s="41">
        <v>62.610000999999997</v>
      </c>
      <c r="H208" s="37">
        <f t="shared" si="27"/>
        <v>2.020534496016526E-2</v>
      </c>
      <c r="I208" s="41">
        <v>103.209999</v>
      </c>
      <c r="J208" s="37">
        <f t="shared" si="28"/>
        <v>2.3502609024300208E-2</v>
      </c>
      <c r="K208" s="41">
        <v>86.849997999999999</v>
      </c>
      <c r="L208" s="37">
        <f t="shared" si="29"/>
        <v>3.1962854944731216E-2</v>
      </c>
      <c r="M208" s="41">
        <v>83.029999000000004</v>
      </c>
      <c r="N208" s="37">
        <f t="shared" si="30"/>
        <v>4.4761067275051539E-3</v>
      </c>
      <c r="O208" s="41">
        <v>113.82</v>
      </c>
      <c r="P208" s="37">
        <f t="shared" si="31"/>
        <v>1.0834831453549349E-2</v>
      </c>
    </row>
    <row r="209" spans="2:16" x14ac:dyDescent="0.45">
      <c r="B209" s="39">
        <v>43087</v>
      </c>
      <c r="C209" s="41">
        <v>78.480002999999996</v>
      </c>
      <c r="D209" s="37">
        <f t="shared" si="25"/>
        <v>3.5083131099973665E-2</v>
      </c>
      <c r="E209" s="41">
        <v>108.66999800000001</v>
      </c>
      <c r="F209" s="37">
        <f t="shared" si="26"/>
        <v>-2.3366577425179554E-2</v>
      </c>
      <c r="G209" s="41">
        <v>65.389999000000003</v>
      </c>
      <c r="H209" s="37">
        <f t="shared" si="27"/>
        <v>4.4401820086219235E-2</v>
      </c>
      <c r="I209" s="41">
        <v>101.58000199999999</v>
      </c>
      <c r="J209" s="37">
        <f t="shared" si="28"/>
        <v>-1.5793014395824218E-2</v>
      </c>
      <c r="K209" s="41">
        <v>85.510002</v>
      </c>
      <c r="L209" s="37">
        <f t="shared" si="29"/>
        <v>-1.5428854701873445E-2</v>
      </c>
      <c r="M209" s="41">
        <v>83.970000999999996</v>
      </c>
      <c r="N209" s="37">
        <f t="shared" si="30"/>
        <v>1.1321233425523618E-2</v>
      </c>
      <c r="O209" s="41">
        <v>112.69000200000001</v>
      </c>
      <c r="P209" s="37">
        <f t="shared" si="31"/>
        <v>-9.9279388508169593E-3</v>
      </c>
    </row>
    <row r="210" spans="2:16" x14ac:dyDescent="0.45">
      <c r="B210" s="39">
        <v>43094</v>
      </c>
      <c r="C210" s="41">
        <v>78.589995999999999</v>
      </c>
      <c r="D210" s="37">
        <f t="shared" si="25"/>
        <v>1.4015417405119481E-3</v>
      </c>
      <c r="E210" s="41">
        <v>107.510002</v>
      </c>
      <c r="F210" s="37">
        <f t="shared" si="26"/>
        <v>-1.0674482574298075E-2</v>
      </c>
      <c r="G210" s="41">
        <v>65.25</v>
      </c>
      <c r="H210" s="37">
        <f t="shared" si="27"/>
        <v>-2.140984892812173E-3</v>
      </c>
      <c r="I210" s="41">
        <v>97.440002000000007</v>
      </c>
      <c r="J210" s="37">
        <f t="shared" si="28"/>
        <v>-4.075605353896318E-2</v>
      </c>
      <c r="K210" s="41">
        <v>85.540001000000004</v>
      </c>
      <c r="L210" s="37">
        <f t="shared" si="29"/>
        <v>3.5082445676943924E-4</v>
      </c>
      <c r="M210" s="41">
        <v>83.639999000000003</v>
      </c>
      <c r="N210" s="37">
        <f t="shared" si="30"/>
        <v>-3.9299987622959925E-3</v>
      </c>
      <c r="O210" s="41">
        <v>114.019997</v>
      </c>
      <c r="P210" s="37">
        <f t="shared" si="31"/>
        <v>1.180224488770527E-2</v>
      </c>
    </row>
    <row r="211" spans="2:16" x14ac:dyDescent="0.45">
      <c r="B211" s="39">
        <v>43101</v>
      </c>
      <c r="C211" s="41">
        <v>79.430000000000007</v>
      </c>
      <c r="D211" s="37">
        <f t="shared" si="25"/>
        <v>1.0688434186967098E-2</v>
      </c>
      <c r="E211" s="41">
        <v>111.620003</v>
      </c>
      <c r="F211" s="37">
        <f t="shared" si="26"/>
        <v>3.8229010543595718E-2</v>
      </c>
      <c r="G211" s="41">
        <v>66.550003000000004</v>
      </c>
      <c r="H211" s="37">
        <f t="shared" si="27"/>
        <v>1.9923417624521132E-2</v>
      </c>
      <c r="I211" s="41">
        <v>97.449996999999996</v>
      </c>
      <c r="J211" s="37">
        <f t="shared" si="28"/>
        <v>1.0257594206524459E-4</v>
      </c>
      <c r="K211" s="41">
        <v>88.190002000000007</v>
      </c>
      <c r="L211" s="37">
        <f t="shared" si="29"/>
        <v>3.0979669967504477E-2</v>
      </c>
      <c r="M211" s="41">
        <v>86.75</v>
      </c>
      <c r="N211" s="37">
        <f t="shared" si="30"/>
        <v>3.7183178349870581E-2</v>
      </c>
      <c r="O211" s="41">
        <v>118.860001</v>
      </c>
      <c r="P211" s="37">
        <f t="shared" si="31"/>
        <v>4.2448729410157704E-2</v>
      </c>
    </row>
    <row r="212" spans="2:16" x14ac:dyDescent="0.45">
      <c r="B212" s="39">
        <v>43108</v>
      </c>
      <c r="C212" s="41">
        <v>78.839995999999999</v>
      </c>
      <c r="D212" s="37">
        <f t="shared" si="25"/>
        <v>-7.4279743170087807E-3</v>
      </c>
      <c r="E212" s="41">
        <v>112.470001</v>
      </c>
      <c r="F212" s="37">
        <f t="shared" si="26"/>
        <v>7.6151046152543051E-3</v>
      </c>
      <c r="G212" s="41">
        <v>76.800003000000004</v>
      </c>
      <c r="H212" s="37">
        <f t="shared" si="27"/>
        <v>0.15401952724179441</v>
      </c>
      <c r="I212" s="41">
        <v>101.290001</v>
      </c>
      <c r="J212" s="37">
        <f t="shared" si="28"/>
        <v>3.9404865245916916E-2</v>
      </c>
      <c r="K212" s="41">
        <v>89.599997999999999</v>
      </c>
      <c r="L212" s="37">
        <f t="shared" si="29"/>
        <v>1.5988161560535993E-2</v>
      </c>
      <c r="M212" s="41">
        <v>87.519997000000004</v>
      </c>
      <c r="N212" s="37">
        <f t="shared" si="30"/>
        <v>8.8760461095101287E-3</v>
      </c>
      <c r="O212" s="41">
        <v>120.089996</v>
      </c>
      <c r="P212" s="37">
        <f t="shared" si="31"/>
        <v>1.0348266781522258E-2</v>
      </c>
    </row>
    <row r="213" spans="2:16" x14ac:dyDescent="0.45">
      <c r="B213" s="39">
        <v>43115</v>
      </c>
      <c r="C213" s="41">
        <v>79.339995999999999</v>
      </c>
      <c r="D213" s="37">
        <f t="shared" si="25"/>
        <v>6.3419587185164243E-3</v>
      </c>
      <c r="E213" s="41">
        <v>110.589996</v>
      </c>
      <c r="F213" s="37">
        <f t="shared" si="26"/>
        <v>-1.6715612903746638E-2</v>
      </c>
      <c r="G213" s="41">
        <v>78.099997999999999</v>
      </c>
      <c r="H213" s="37">
        <f t="shared" si="27"/>
        <v>1.6927017567954984E-2</v>
      </c>
      <c r="I213" s="41">
        <v>107.410004</v>
      </c>
      <c r="J213" s="37">
        <f t="shared" si="28"/>
        <v>6.0420603609234805E-2</v>
      </c>
      <c r="K213" s="41">
        <v>90</v>
      </c>
      <c r="L213" s="37">
        <f t="shared" si="29"/>
        <v>4.4643081353640283E-3</v>
      </c>
      <c r="M213" s="41">
        <v>87.150002000000001</v>
      </c>
      <c r="N213" s="37">
        <f t="shared" si="30"/>
        <v>-4.2275481339424971E-3</v>
      </c>
      <c r="O213" s="41">
        <v>122.699997</v>
      </c>
      <c r="P213" s="37">
        <f t="shared" si="31"/>
        <v>2.1733708776208109E-2</v>
      </c>
    </row>
    <row r="214" spans="2:16" x14ac:dyDescent="0.45">
      <c r="B214" s="39">
        <v>43122</v>
      </c>
      <c r="C214" s="41">
        <v>79.080001999999993</v>
      </c>
      <c r="D214" s="37">
        <f t="shared" si="25"/>
        <v>-3.2769600845455808E-3</v>
      </c>
      <c r="E214" s="41">
        <v>112.19000200000001</v>
      </c>
      <c r="F214" s="37">
        <f t="shared" si="26"/>
        <v>1.4467909014121021E-2</v>
      </c>
      <c r="G214" s="41">
        <v>76.949996999999996</v>
      </c>
      <c r="H214" s="37">
        <f t="shared" si="27"/>
        <v>-1.4724725088981478E-2</v>
      </c>
      <c r="I214" s="41">
        <v>110.470001</v>
      </c>
      <c r="J214" s="37">
        <f t="shared" si="28"/>
        <v>2.8488938516378751E-2</v>
      </c>
      <c r="K214" s="41">
        <v>94.059997999999993</v>
      </c>
      <c r="L214" s="37">
        <f t="shared" si="29"/>
        <v>4.511108888888881E-2</v>
      </c>
      <c r="M214" s="41">
        <v>89</v>
      </c>
      <c r="N214" s="37">
        <f t="shared" si="30"/>
        <v>2.1227744779627192E-2</v>
      </c>
      <c r="O214" s="41">
        <v>126.32</v>
      </c>
      <c r="P214" s="37">
        <f t="shared" si="31"/>
        <v>2.9502877656957052E-2</v>
      </c>
    </row>
    <row r="215" spans="2:16" x14ac:dyDescent="0.45">
      <c r="B215" s="39">
        <v>43129</v>
      </c>
      <c r="C215" s="41">
        <v>78.620002999999997</v>
      </c>
      <c r="D215" s="37">
        <f t="shared" si="25"/>
        <v>-5.816881491732844E-3</v>
      </c>
      <c r="E215" s="41">
        <v>108.699997</v>
      </c>
      <c r="F215" s="37">
        <f t="shared" si="26"/>
        <v>-3.1107985896996513E-2</v>
      </c>
      <c r="G215" s="41">
        <v>72.949996999999996</v>
      </c>
      <c r="H215" s="37">
        <f t="shared" si="27"/>
        <v>-5.1981808394352506E-2</v>
      </c>
      <c r="I215" s="41">
        <v>108.349998</v>
      </c>
      <c r="J215" s="37">
        <f t="shared" si="28"/>
        <v>-1.9190757498046888E-2</v>
      </c>
      <c r="K215" s="41">
        <v>91.779999000000004</v>
      </c>
      <c r="L215" s="37">
        <f t="shared" si="29"/>
        <v>-2.4239836790130375E-2</v>
      </c>
      <c r="M215" s="41">
        <v>84.529999000000004</v>
      </c>
      <c r="N215" s="37">
        <f t="shared" si="30"/>
        <v>-5.022473033707861E-2</v>
      </c>
      <c r="O215" s="41">
        <v>120.910004</v>
      </c>
      <c r="P215" s="37">
        <f t="shared" si="31"/>
        <v>-4.2827707409752953E-2</v>
      </c>
    </row>
    <row r="216" spans="2:16" x14ac:dyDescent="0.45">
      <c r="B216" s="39">
        <v>43136</v>
      </c>
      <c r="C216" s="41">
        <v>77.150002000000001</v>
      </c>
      <c r="D216" s="37">
        <f t="shared" si="25"/>
        <v>-1.8697544440439622E-2</v>
      </c>
      <c r="E216" s="41">
        <v>103.089996</v>
      </c>
      <c r="F216" s="37">
        <f t="shared" si="26"/>
        <v>-5.1609946226585428E-2</v>
      </c>
      <c r="G216" s="41">
        <v>72.449996999999996</v>
      </c>
      <c r="H216" s="37">
        <f t="shared" si="27"/>
        <v>-6.8540098774781313E-3</v>
      </c>
      <c r="I216" s="41">
        <v>95.32</v>
      </c>
      <c r="J216" s="37">
        <f t="shared" si="28"/>
        <v>-0.12025840554237949</v>
      </c>
      <c r="K216" s="41">
        <v>88.18</v>
      </c>
      <c r="L216" s="37">
        <f t="shared" si="29"/>
        <v>-3.9224221390544975E-2</v>
      </c>
      <c r="M216" s="41">
        <v>75.779999000000004</v>
      </c>
      <c r="N216" s="37">
        <f t="shared" si="30"/>
        <v>-0.10351354671138704</v>
      </c>
      <c r="O216" s="41">
        <v>116.32</v>
      </c>
      <c r="P216" s="37">
        <f t="shared" si="31"/>
        <v>-3.7962152412136282E-2</v>
      </c>
    </row>
    <row r="217" spans="2:16" x14ac:dyDescent="0.45">
      <c r="B217" s="39">
        <v>43143</v>
      </c>
      <c r="C217" s="41">
        <v>81.400002000000001</v>
      </c>
      <c r="D217" s="37">
        <f t="shared" si="25"/>
        <v>5.5087490470836283E-2</v>
      </c>
      <c r="E217" s="41">
        <v>106.529999</v>
      </c>
      <c r="F217" s="37">
        <f t="shared" si="26"/>
        <v>3.3368931355861185E-2</v>
      </c>
      <c r="G217" s="41">
        <v>75.699996999999996</v>
      </c>
      <c r="H217" s="37">
        <f t="shared" si="27"/>
        <v>4.4858524976888546E-2</v>
      </c>
      <c r="I217" s="41">
        <v>100.089996</v>
      </c>
      <c r="J217" s="37">
        <f t="shared" si="28"/>
        <v>5.0041921947125541E-2</v>
      </c>
      <c r="K217" s="41">
        <v>92</v>
      </c>
      <c r="L217" s="37">
        <f t="shared" si="29"/>
        <v>4.3320480834656304E-2</v>
      </c>
      <c r="M217" s="41">
        <v>76.540001000000004</v>
      </c>
      <c r="N217" s="37">
        <f t="shared" si="30"/>
        <v>1.0029057931235919E-2</v>
      </c>
      <c r="O217" s="41">
        <v>121.849998</v>
      </c>
      <c r="P217" s="37">
        <f t="shared" si="31"/>
        <v>4.7541248280605283E-2</v>
      </c>
    </row>
    <row r="218" spans="2:16" x14ac:dyDescent="0.45">
      <c r="B218" s="39">
        <v>43150</v>
      </c>
      <c r="C218" s="41">
        <v>81.860000999999997</v>
      </c>
      <c r="D218" s="37">
        <f t="shared" si="25"/>
        <v>5.6510932272458205E-3</v>
      </c>
      <c r="E218" s="41">
        <v>107.25</v>
      </c>
      <c r="F218" s="37">
        <f t="shared" si="26"/>
        <v>6.7586689829969519E-3</v>
      </c>
      <c r="G218" s="41">
        <v>75.410004000000001</v>
      </c>
      <c r="H218" s="37">
        <f t="shared" si="27"/>
        <v>-3.8308191742728276E-3</v>
      </c>
      <c r="I218" s="41">
        <v>101.480003</v>
      </c>
      <c r="J218" s="37">
        <f t="shared" si="28"/>
        <v>1.3887571740935998E-2</v>
      </c>
      <c r="K218" s="41">
        <v>94.059997999999993</v>
      </c>
      <c r="L218" s="37">
        <f t="shared" si="29"/>
        <v>2.2391282608695579E-2</v>
      </c>
      <c r="M218" s="41">
        <v>77.529999000000004</v>
      </c>
      <c r="N218" s="37">
        <f t="shared" si="30"/>
        <v>1.2934387079508921E-2</v>
      </c>
      <c r="O218" s="41">
        <v>122.93</v>
      </c>
      <c r="P218" s="37">
        <f t="shared" si="31"/>
        <v>8.8633731450697886E-3</v>
      </c>
    </row>
    <row r="219" spans="2:16" x14ac:dyDescent="0.45">
      <c r="B219" s="39">
        <v>43157</v>
      </c>
      <c r="C219" s="41">
        <v>82.07</v>
      </c>
      <c r="D219" s="37">
        <f t="shared" si="25"/>
        <v>2.5653432376576235E-3</v>
      </c>
      <c r="E219" s="41">
        <v>102.989998</v>
      </c>
      <c r="F219" s="37">
        <f t="shared" si="26"/>
        <v>-3.9720298368298372E-2</v>
      </c>
      <c r="G219" s="41">
        <v>75.150002000000001</v>
      </c>
      <c r="H219" s="37">
        <f t="shared" si="27"/>
        <v>-3.4478449304948993E-3</v>
      </c>
      <c r="I219" s="41">
        <v>96.050003000000004</v>
      </c>
      <c r="J219" s="37">
        <f t="shared" si="28"/>
        <v>-5.3508078828101657E-2</v>
      </c>
      <c r="K219" s="41">
        <v>93.050003000000004</v>
      </c>
      <c r="L219" s="37">
        <f t="shared" si="29"/>
        <v>-1.0737773989746305E-2</v>
      </c>
      <c r="M219" s="41">
        <v>75.550003000000004</v>
      </c>
      <c r="N219" s="37">
        <f t="shared" si="30"/>
        <v>-2.5538449961801234E-2</v>
      </c>
      <c r="O219" s="41">
        <v>120.769997</v>
      </c>
      <c r="P219" s="37">
        <f t="shared" si="31"/>
        <v>-1.7570999755958702E-2</v>
      </c>
    </row>
    <row r="220" spans="2:16" x14ac:dyDescent="0.45">
      <c r="B220" s="39">
        <v>43164</v>
      </c>
      <c r="C220" s="41">
        <v>81</v>
      </c>
      <c r="D220" s="37">
        <f t="shared" si="25"/>
        <v>-1.3037650785914382E-2</v>
      </c>
      <c r="E220" s="41">
        <v>104.730003</v>
      </c>
      <c r="F220" s="37">
        <f t="shared" si="26"/>
        <v>1.6894893036117901E-2</v>
      </c>
      <c r="G220" s="41">
        <v>70.489998</v>
      </c>
      <c r="H220" s="37">
        <f t="shared" si="27"/>
        <v>-6.2009366280522532E-2</v>
      </c>
      <c r="I220" s="41">
        <v>90.599997999999999</v>
      </c>
      <c r="J220" s="37">
        <f t="shared" si="28"/>
        <v>-5.6741330867006889E-2</v>
      </c>
      <c r="K220" s="41">
        <v>96.540001000000004</v>
      </c>
      <c r="L220" s="37">
        <f t="shared" si="29"/>
        <v>3.7506694115850808E-2</v>
      </c>
      <c r="M220" s="41">
        <v>74.559997999999993</v>
      </c>
      <c r="N220" s="37">
        <f t="shared" si="30"/>
        <v>-1.3103970359868955E-2</v>
      </c>
      <c r="O220" s="41">
        <v>124.510002</v>
      </c>
      <c r="P220" s="37">
        <f t="shared" si="31"/>
        <v>3.0967997788391072E-2</v>
      </c>
    </row>
    <row r="221" spans="2:16" x14ac:dyDescent="0.45">
      <c r="B221" s="39">
        <v>43171</v>
      </c>
      <c r="C221" s="41">
        <v>80.760002</v>
      </c>
      <c r="D221" s="37">
        <f t="shared" si="25"/>
        <v>-2.9629382716049374E-3</v>
      </c>
      <c r="E221" s="41">
        <v>102.870003</v>
      </c>
      <c r="F221" s="37">
        <f t="shared" si="26"/>
        <v>-1.7759953659124784E-2</v>
      </c>
      <c r="G221" s="41">
        <v>70.989998</v>
      </c>
      <c r="H221" s="37">
        <f t="shared" si="27"/>
        <v>7.0932049111421449E-3</v>
      </c>
      <c r="I221" s="41">
        <v>88.800003000000004</v>
      </c>
      <c r="J221" s="37">
        <f t="shared" si="28"/>
        <v>-1.9867494919812202E-2</v>
      </c>
      <c r="K221" s="41">
        <v>94.599997999999999</v>
      </c>
      <c r="L221" s="37">
        <f t="shared" si="29"/>
        <v>-2.0095328153145599E-2</v>
      </c>
      <c r="M221" s="41">
        <v>75.120002999999997</v>
      </c>
      <c r="N221" s="37">
        <f t="shared" si="30"/>
        <v>7.5107968752896681E-3</v>
      </c>
      <c r="O221" s="41">
        <v>124.529999</v>
      </c>
      <c r="P221" s="37">
        <f t="shared" si="31"/>
        <v>1.6060557126971691E-4</v>
      </c>
    </row>
    <row r="222" spans="2:16" x14ac:dyDescent="0.45">
      <c r="B222" s="39">
        <v>43178</v>
      </c>
      <c r="C222" s="41">
        <v>79.510002</v>
      </c>
      <c r="D222" s="37">
        <f t="shared" si="25"/>
        <v>-1.5477959002527018E-2</v>
      </c>
      <c r="E222" s="41">
        <v>98.540001000000004</v>
      </c>
      <c r="F222" s="37">
        <f t="shared" si="26"/>
        <v>-4.2091978941616183E-2</v>
      </c>
      <c r="G222" s="41">
        <v>67.879997000000003</v>
      </c>
      <c r="H222" s="37">
        <f t="shared" si="27"/>
        <v>-4.3809002502014395E-2</v>
      </c>
      <c r="I222" s="41">
        <v>87.650002000000001</v>
      </c>
      <c r="J222" s="37">
        <f t="shared" si="28"/>
        <v>-1.2950461274196164E-2</v>
      </c>
      <c r="K222" s="41">
        <v>87.18</v>
      </c>
      <c r="L222" s="37">
        <f t="shared" si="29"/>
        <v>-7.8435498487008343E-2</v>
      </c>
      <c r="M222" s="41">
        <v>72.889999000000003</v>
      </c>
      <c r="N222" s="37">
        <f t="shared" si="30"/>
        <v>-2.9685888058337724E-2</v>
      </c>
      <c r="O222" s="41">
        <v>117</v>
      </c>
      <c r="P222" s="37">
        <f t="shared" si="31"/>
        <v>-6.0467349718681063E-2</v>
      </c>
    </row>
    <row r="223" spans="2:16" x14ac:dyDescent="0.45">
      <c r="B223" s="39">
        <v>43185</v>
      </c>
      <c r="C223" s="41">
        <v>89.120002999999997</v>
      </c>
      <c r="D223" s="37">
        <f t="shared" si="25"/>
        <v>0.1208653094990489</v>
      </c>
      <c r="E223" s="41">
        <v>100.44000200000001</v>
      </c>
      <c r="F223" s="37">
        <f t="shared" si="26"/>
        <v>1.9281519999172752E-2</v>
      </c>
      <c r="G223" s="41">
        <v>69.430000000000007</v>
      </c>
      <c r="H223" s="37">
        <f t="shared" si="27"/>
        <v>2.2834458876007373E-2</v>
      </c>
      <c r="I223" s="41">
        <v>89.019997000000004</v>
      </c>
      <c r="J223" s="37">
        <f t="shared" si="28"/>
        <v>1.5630290573182222E-2</v>
      </c>
      <c r="K223" s="41">
        <v>91.269997000000004</v>
      </c>
      <c r="L223" s="37">
        <f t="shared" si="29"/>
        <v>4.691439550355582E-2</v>
      </c>
      <c r="M223" s="41">
        <v>74.610000999999997</v>
      </c>
      <c r="N223" s="37">
        <f t="shared" si="30"/>
        <v>2.359722902451945E-2</v>
      </c>
      <c r="O223" s="41">
        <v>119.620003</v>
      </c>
      <c r="P223" s="37">
        <f t="shared" si="31"/>
        <v>2.2393188034188008E-2</v>
      </c>
    </row>
    <row r="224" spans="2:16" x14ac:dyDescent="0.45">
      <c r="B224" s="39">
        <v>43192</v>
      </c>
      <c r="C224" s="41">
        <v>89.610000999999997</v>
      </c>
      <c r="D224" s="37">
        <f t="shared" si="25"/>
        <v>5.4981820411294192E-3</v>
      </c>
      <c r="E224" s="41">
        <v>100.349998</v>
      </c>
      <c r="F224" s="37">
        <f t="shared" si="26"/>
        <v>-8.9609715459790132E-4</v>
      </c>
      <c r="G224" s="41">
        <v>72.290001000000004</v>
      </c>
      <c r="H224" s="37">
        <f t="shared" si="27"/>
        <v>4.1192582457151038E-2</v>
      </c>
      <c r="I224" s="41">
        <v>89.010002</v>
      </c>
      <c r="J224" s="37">
        <f t="shared" si="28"/>
        <v>-1.1227814352772365E-4</v>
      </c>
      <c r="K224" s="41">
        <v>90.230002999999996</v>
      </c>
      <c r="L224" s="37">
        <f t="shared" si="29"/>
        <v>-1.1394697427238955E-2</v>
      </c>
      <c r="M224" s="41">
        <v>74.870002999999997</v>
      </c>
      <c r="N224" s="37">
        <f t="shared" si="30"/>
        <v>3.4848143213401118E-3</v>
      </c>
      <c r="O224" s="41">
        <v>117.699997</v>
      </c>
      <c r="P224" s="37">
        <f t="shared" si="31"/>
        <v>-1.6050877377088855E-2</v>
      </c>
    </row>
    <row r="225" spans="2:16" x14ac:dyDescent="0.45">
      <c r="B225" s="39">
        <v>43199</v>
      </c>
      <c r="C225" s="41">
        <v>91.709998999999996</v>
      </c>
      <c r="D225" s="37">
        <f t="shared" si="25"/>
        <v>2.3434861919039589E-2</v>
      </c>
      <c r="E225" s="41">
        <v>100.349998</v>
      </c>
      <c r="F225" s="37">
        <f t="shared" si="26"/>
        <v>0</v>
      </c>
      <c r="G225" s="41">
        <v>71.519997000000004</v>
      </c>
      <c r="H225" s="37">
        <f t="shared" si="27"/>
        <v>-1.0651597584014421E-2</v>
      </c>
      <c r="I225" s="41">
        <v>89.489998</v>
      </c>
      <c r="J225" s="37">
        <f t="shared" si="28"/>
        <v>5.3926074510143238E-3</v>
      </c>
      <c r="K225" s="41">
        <v>93.080001999999993</v>
      </c>
      <c r="L225" s="37">
        <f t="shared" si="29"/>
        <v>3.1585934891302139E-2</v>
      </c>
      <c r="M225" s="41">
        <v>77.839995999999999</v>
      </c>
      <c r="N225" s="37">
        <f t="shared" si="30"/>
        <v>3.9668664097689467E-2</v>
      </c>
      <c r="O225" s="41">
        <v>120.75</v>
      </c>
      <c r="P225" s="37">
        <f t="shared" si="31"/>
        <v>2.591336514647493E-2</v>
      </c>
    </row>
    <row r="226" spans="2:16" x14ac:dyDescent="0.45">
      <c r="B226" s="39">
        <v>43206</v>
      </c>
      <c r="C226" s="41">
        <v>96.309997999999993</v>
      </c>
      <c r="D226" s="37">
        <f t="shared" si="25"/>
        <v>5.0158096719639014E-2</v>
      </c>
      <c r="E226" s="41">
        <v>100.239998</v>
      </c>
      <c r="F226" s="37">
        <f t="shared" si="26"/>
        <v>-1.0961634498487926E-3</v>
      </c>
      <c r="G226" s="41">
        <v>70.319999999999993</v>
      </c>
      <c r="H226" s="37">
        <f t="shared" si="27"/>
        <v>-1.6778482247419704E-2</v>
      </c>
      <c r="I226" s="41">
        <v>87.389999000000003</v>
      </c>
      <c r="J226" s="37">
        <f t="shared" si="28"/>
        <v>-2.3466298434826168E-2</v>
      </c>
      <c r="K226" s="41">
        <v>95</v>
      </c>
      <c r="L226" s="37">
        <f t="shared" si="29"/>
        <v>2.0627395345350411E-2</v>
      </c>
      <c r="M226" s="41">
        <v>79</v>
      </c>
      <c r="N226" s="37">
        <f t="shared" si="30"/>
        <v>1.4902415976485927E-2</v>
      </c>
      <c r="O226" s="41">
        <v>124.199997</v>
      </c>
      <c r="P226" s="37">
        <f t="shared" si="31"/>
        <v>2.8571403726708043E-2</v>
      </c>
    </row>
    <row r="227" spans="2:16" x14ac:dyDescent="0.45">
      <c r="B227" s="39">
        <v>43213</v>
      </c>
      <c r="C227" s="41">
        <v>99.169998000000007</v>
      </c>
      <c r="D227" s="37">
        <f t="shared" si="25"/>
        <v>2.9695774679592599E-2</v>
      </c>
      <c r="E227" s="41">
        <v>99.230002999999996</v>
      </c>
      <c r="F227" s="37">
        <f t="shared" si="26"/>
        <v>-1.0075768357457505E-2</v>
      </c>
      <c r="G227" s="41">
        <v>72.849997999999999</v>
      </c>
      <c r="H227" s="37">
        <f t="shared" si="27"/>
        <v>3.5978356086461979E-2</v>
      </c>
      <c r="I227" s="41">
        <v>89.779999000000004</v>
      </c>
      <c r="J227" s="37">
        <f t="shared" si="28"/>
        <v>2.7348667208475428E-2</v>
      </c>
      <c r="K227" s="41">
        <v>95.82</v>
      </c>
      <c r="L227" s="37">
        <f t="shared" si="29"/>
        <v>8.6315789473683496E-3</v>
      </c>
      <c r="M227" s="41">
        <v>77.790001000000004</v>
      </c>
      <c r="N227" s="37">
        <f t="shared" si="30"/>
        <v>-1.5316443037974636E-2</v>
      </c>
      <c r="O227" s="41">
        <v>126.010002</v>
      </c>
      <c r="P227" s="37">
        <f t="shared" si="31"/>
        <v>1.45733095307563E-2</v>
      </c>
    </row>
    <row r="228" spans="2:16" x14ac:dyDescent="0.45">
      <c r="B228" s="39">
        <v>43220</v>
      </c>
      <c r="C228" s="41">
        <v>95.489998</v>
      </c>
      <c r="D228" s="37">
        <f t="shared" si="25"/>
        <v>-3.7107997118241413E-2</v>
      </c>
      <c r="E228" s="41">
        <v>101.150002</v>
      </c>
      <c r="F228" s="37">
        <f t="shared" si="26"/>
        <v>1.9348976538880125E-2</v>
      </c>
      <c r="G228" s="41">
        <v>71.050003000000004</v>
      </c>
      <c r="H228" s="37">
        <f t="shared" si="27"/>
        <v>-2.4708236779910353E-2</v>
      </c>
      <c r="I228" s="41">
        <v>86.730002999999996</v>
      </c>
      <c r="J228" s="37">
        <f t="shared" si="28"/>
        <v>-3.3971887212874745E-2</v>
      </c>
      <c r="K228" s="41">
        <v>95.160004000000001</v>
      </c>
      <c r="L228" s="37">
        <f t="shared" si="29"/>
        <v>-6.8878730953871063E-3</v>
      </c>
      <c r="M228" s="41">
        <v>76.900002000000001</v>
      </c>
      <c r="N228" s="37">
        <f t="shared" si="30"/>
        <v>-1.1441046259917171E-2</v>
      </c>
      <c r="O228" s="41">
        <v>128.16000399999999</v>
      </c>
      <c r="P228" s="37">
        <f t="shared" si="31"/>
        <v>1.7062153526511224E-2</v>
      </c>
    </row>
    <row r="229" spans="2:16" x14ac:dyDescent="0.45">
      <c r="B229" s="39">
        <v>43227</v>
      </c>
      <c r="C229" s="41">
        <v>98.540001000000004</v>
      </c>
      <c r="D229" s="37">
        <f t="shared" si="25"/>
        <v>3.194054941754218E-2</v>
      </c>
      <c r="E229" s="41">
        <v>102.07</v>
      </c>
      <c r="F229" s="37">
        <f t="shared" si="26"/>
        <v>9.0953829145746581E-3</v>
      </c>
      <c r="G229" s="41">
        <v>70.25</v>
      </c>
      <c r="H229" s="37">
        <f t="shared" si="27"/>
        <v>-1.125971803266502E-2</v>
      </c>
      <c r="I229" s="41">
        <v>88.529999000000004</v>
      </c>
      <c r="J229" s="37">
        <f t="shared" si="28"/>
        <v>2.0754017499572869E-2</v>
      </c>
      <c r="K229" s="41">
        <v>97.699996999999996</v>
      </c>
      <c r="L229" s="37">
        <f t="shared" si="29"/>
        <v>2.6691812665329391E-2</v>
      </c>
      <c r="M229" s="41">
        <v>81.279999000000004</v>
      </c>
      <c r="N229" s="37">
        <f t="shared" si="30"/>
        <v>5.6957046633106759E-2</v>
      </c>
      <c r="O229" s="41">
        <v>131.820007</v>
      </c>
      <c r="P229" s="37">
        <f t="shared" si="31"/>
        <v>2.8558074951371082E-2</v>
      </c>
    </row>
    <row r="230" spans="2:16" x14ac:dyDescent="0.45">
      <c r="B230" s="39">
        <v>43234</v>
      </c>
      <c r="C230" s="41">
        <v>102.82</v>
      </c>
      <c r="D230" s="37">
        <f t="shared" si="25"/>
        <v>4.3434127832005898E-2</v>
      </c>
      <c r="E230" s="41">
        <v>103.93</v>
      </c>
      <c r="F230" s="37">
        <f t="shared" si="26"/>
        <v>1.8222788282551326E-2</v>
      </c>
      <c r="G230" s="41">
        <v>75.940002000000007</v>
      </c>
      <c r="H230" s="37">
        <f t="shared" si="27"/>
        <v>8.0996469750889782E-2</v>
      </c>
      <c r="I230" s="41">
        <v>89.199996999999996</v>
      </c>
      <c r="J230" s="37">
        <f t="shared" si="28"/>
        <v>7.5680335204792275E-3</v>
      </c>
      <c r="K230" s="41">
        <v>96.360000999999997</v>
      </c>
      <c r="L230" s="37">
        <f t="shared" si="29"/>
        <v>-1.3715414955437506E-2</v>
      </c>
      <c r="M230" s="41">
        <v>81.300003000000004</v>
      </c>
      <c r="N230" s="37">
        <f t="shared" si="30"/>
        <v>2.4611220775236641E-4</v>
      </c>
      <c r="O230" s="41">
        <v>129.929993</v>
      </c>
      <c r="P230" s="37">
        <f t="shared" si="31"/>
        <v>-1.4337838716698048E-2</v>
      </c>
    </row>
    <row r="231" spans="2:16" x14ac:dyDescent="0.45">
      <c r="B231" s="39">
        <v>43241</v>
      </c>
      <c r="C231" s="41">
        <v>106.18</v>
      </c>
      <c r="D231" s="37">
        <f t="shared" si="25"/>
        <v>3.2678467224275566E-2</v>
      </c>
      <c r="E231" s="41">
        <v>102.199997</v>
      </c>
      <c r="F231" s="37">
        <f t="shared" si="26"/>
        <v>-1.6645848167035605E-2</v>
      </c>
      <c r="G231" s="41">
        <v>71.209998999999996</v>
      </c>
      <c r="H231" s="37">
        <f t="shared" si="27"/>
        <v>-6.2286053139687964E-2</v>
      </c>
      <c r="I231" s="41">
        <v>92.199996999999996</v>
      </c>
      <c r="J231" s="37">
        <f t="shared" si="28"/>
        <v>3.363228812664646E-2</v>
      </c>
      <c r="K231" s="41">
        <v>98.360000999999997</v>
      </c>
      <c r="L231" s="37">
        <f t="shared" si="29"/>
        <v>2.0755499992159612E-2</v>
      </c>
      <c r="M231" s="41">
        <v>78.709998999999996</v>
      </c>
      <c r="N231" s="37">
        <f t="shared" si="30"/>
        <v>-3.1857366598129246E-2</v>
      </c>
      <c r="O231" s="41">
        <v>131.279999</v>
      </c>
      <c r="P231" s="37">
        <f t="shared" si="31"/>
        <v>1.0390256851626303E-2</v>
      </c>
    </row>
    <row r="232" spans="2:16" x14ac:dyDescent="0.45">
      <c r="B232" s="39">
        <v>43248</v>
      </c>
      <c r="C232" s="41">
        <v>122.19000200000001</v>
      </c>
      <c r="D232" s="37">
        <f t="shared" si="25"/>
        <v>0.1507817103032586</v>
      </c>
      <c r="E232" s="41">
        <v>99.360000999999997</v>
      </c>
      <c r="F232" s="37">
        <f t="shared" si="26"/>
        <v>-2.7788611383227333E-2</v>
      </c>
      <c r="G232" s="41">
        <v>72.800003000000004</v>
      </c>
      <c r="H232" s="37">
        <f t="shared" si="27"/>
        <v>2.2328381158943811E-2</v>
      </c>
      <c r="I232" s="41">
        <v>93.660004000000001</v>
      </c>
      <c r="J232" s="37">
        <f t="shared" si="28"/>
        <v>1.5835217434985432E-2</v>
      </c>
      <c r="K232" s="41">
        <v>100.790001</v>
      </c>
      <c r="L232" s="37">
        <f t="shared" si="29"/>
        <v>2.4705164449927233E-2</v>
      </c>
      <c r="M232" s="41">
        <v>81.830001999999993</v>
      </c>
      <c r="N232" s="37">
        <f t="shared" si="30"/>
        <v>3.9639220424840776E-2</v>
      </c>
      <c r="O232" s="41">
        <v>130.85000600000001</v>
      </c>
      <c r="P232" s="37">
        <f t="shared" si="31"/>
        <v>-3.2753885075821492E-3</v>
      </c>
    </row>
    <row r="233" spans="2:16" x14ac:dyDescent="0.45">
      <c r="B233" s="39">
        <v>43255</v>
      </c>
      <c r="C233" s="41">
        <v>122.019997</v>
      </c>
      <c r="D233" s="37">
        <f t="shared" si="25"/>
        <v>-1.3913167789292881E-3</v>
      </c>
      <c r="E233" s="41">
        <v>103.980003</v>
      </c>
      <c r="F233" s="37">
        <f t="shared" si="26"/>
        <v>4.6497604201916218E-2</v>
      </c>
      <c r="G233" s="41">
        <v>78.019997000000004</v>
      </c>
      <c r="H233" s="37">
        <f t="shared" si="27"/>
        <v>7.170321133091162E-2</v>
      </c>
      <c r="I233" s="41">
        <v>100.040001</v>
      </c>
      <c r="J233" s="37">
        <f t="shared" si="28"/>
        <v>6.8118692371612569E-2</v>
      </c>
      <c r="K233" s="41">
        <v>101.629997</v>
      </c>
      <c r="L233" s="37">
        <f t="shared" si="29"/>
        <v>8.3341203657692122E-3</v>
      </c>
      <c r="M233" s="41">
        <v>83.599997999999999</v>
      </c>
      <c r="N233" s="37">
        <f t="shared" si="30"/>
        <v>2.1630159559326494E-2</v>
      </c>
      <c r="O233" s="41">
        <v>134.740005</v>
      </c>
      <c r="P233" s="37">
        <f t="shared" si="31"/>
        <v>2.9728687975757437E-2</v>
      </c>
    </row>
    <row r="234" spans="2:16" x14ac:dyDescent="0.45">
      <c r="B234" s="39">
        <v>43262</v>
      </c>
      <c r="C234" s="41">
        <v>128.36999499999999</v>
      </c>
      <c r="D234" s="37">
        <f t="shared" si="25"/>
        <v>5.2040633962644543E-2</v>
      </c>
      <c r="E234" s="41">
        <v>108.849998</v>
      </c>
      <c r="F234" s="37">
        <f t="shared" si="26"/>
        <v>4.6835880549070605E-2</v>
      </c>
      <c r="G234" s="41">
        <v>77.25</v>
      </c>
      <c r="H234" s="37">
        <f t="shared" si="27"/>
        <v>-9.8692262190166902E-3</v>
      </c>
      <c r="I234" s="41">
        <v>109.050003</v>
      </c>
      <c r="J234" s="37">
        <f t="shared" si="28"/>
        <v>9.0063993501959275E-2</v>
      </c>
      <c r="K234" s="41">
        <v>100.129997</v>
      </c>
      <c r="L234" s="37">
        <f t="shared" si="29"/>
        <v>-1.4759421866360973E-2</v>
      </c>
      <c r="M234" s="41">
        <v>80.660004000000001</v>
      </c>
      <c r="N234" s="37">
        <f t="shared" si="30"/>
        <v>-3.5167393185822786E-2</v>
      </c>
      <c r="O234" s="41">
        <v>135.10000600000001</v>
      </c>
      <c r="P234" s="37">
        <f t="shared" si="31"/>
        <v>2.671819701951259E-3</v>
      </c>
    </row>
    <row r="235" spans="2:16" x14ac:dyDescent="0.45">
      <c r="B235" s="39">
        <v>43269</v>
      </c>
      <c r="C235" s="41">
        <v>124.18</v>
      </c>
      <c r="D235" s="37">
        <f t="shared" si="25"/>
        <v>-3.263998724935669E-2</v>
      </c>
      <c r="E235" s="41">
        <v>106.339996</v>
      </c>
      <c r="F235" s="37">
        <f t="shared" si="26"/>
        <v>-2.3059274654281574E-2</v>
      </c>
      <c r="G235" s="41">
        <v>76.040001000000004</v>
      </c>
      <c r="H235" s="37">
        <f t="shared" si="27"/>
        <v>-1.5663417475728109E-2</v>
      </c>
      <c r="I235" s="41">
        <v>112.25</v>
      </c>
      <c r="J235" s="37">
        <f t="shared" si="28"/>
        <v>2.9344309142293155E-2</v>
      </c>
      <c r="K235" s="41">
        <v>100.410004</v>
      </c>
      <c r="L235" s="37">
        <f t="shared" si="29"/>
        <v>2.796434718758632E-3</v>
      </c>
      <c r="M235" s="41">
        <v>81.379997000000003</v>
      </c>
      <c r="N235" s="37">
        <f t="shared" si="30"/>
        <v>8.9262703235174941E-3</v>
      </c>
      <c r="O235" s="41">
        <v>135.33000200000001</v>
      </c>
      <c r="P235" s="37">
        <f t="shared" si="31"/>
        <v>1.7024129517803268E-3</v>
      </c>
    </row>
    <row r="236" spans="2:16" x14ac:dyDescent="0.45">
      <c r="B236" s="39">
        <v>43276</v>
      </c>
      <c r="C236" s="41">
        <v>124.849998</v>
      </c>
      <c r="D236" s="37">
        <f t="shared" si="25"/>
        <v>5.3953776775647645E-3</v>
      </c>
      <c r="E236" s="41">
        <v>104.80999799999999</v>
      </c>
      <c r="F236" s="37">
        <f t="shared" si="26"/>
        <v>-1.4387794409922737E-2</v>
      </c>
      <c r="G236" s="41">
        <v>76.120002999999997</v>
      </c>
      <c r="H236" s="37">
        <f t="shared" si="27"/>
        <v>1.0521041418712401E-3</v>
      </c>
      <c r="I236" s="41">
        <v>106.900002</v>
      </c>
      <c r="J236" s="37">
        <f t="shared" si="28"/>
        <v>-4.7661452115812915E-2</v>
      </c>
      <c r="K236" s="41">
        <v>98.610000999999997</v>
      </c>
      <c r="L236" s="37">
        <f t="shared" si="29"/>
        <v>-1.7926530507856607E-2</v>
      </c>
      <c r="M236" s="41">
        <v>82.730002999999996</v>
      </c>
      <c r="N236" s="37">
        <f t="shared" si="30"/>
        <v>1.6588916807160774E-2</v>
      </c>
      <c r="O236" s="41">
        <v>132.449997</v>
      </c>
      <c r="P236" s="37">
        <f t="shared" si="31"/>
        <v>-2.1281348979807234E-2</v>
      </c>
    </row>
    <row r="237" spans="2:16" x14ac:dyDescent="0.45">
      <c r="B237" s="39">
        <v>43283</v>
      </c>
      <c r="C237" s="41">
        <v>128.53999300000001</v>
      </c>
      <c r="D237" s="37">
        <f t="shared" si="25"/>
        <v>2.9555426985269237E-2</v>
      </c>
      <c r="E237" s="41">
        <v>104.779999</v>
      </c>
      <c r="F237" s="37">
        <f t="shared" si="26"/>
        <v>-2.8622269413638816E-4</v>
      </c>
      <c r="G237" s="41">
        <v>76.790001000000004</v>
      </c>
      <c r="H237" s="37">
        <f t="shared" si="27"/>
        <v>8.8018651286706703E-3</v>
      </c>
      <c r="I237" s="41">
        <v>107.040001</v>
      </c>
      <c r="J237" s="37">
        <f t="shared" si="28"/>
        <v>1.3096257940201264E-3</v>
      </c>
      <c r="K237" s="41">
        <v>101.160004</v>
      </c>
      <c r="L237" s="37">
        <f t="shared" si="29"/>
        <v>2.5859476464258468E-2</v>
      </c>
      <c r="M237" s="41">
        <v>82.330001999999993</v>
      </c>
      <c r="N237" s="37">
        <f t="shared" si="30"/>
        <v>-4.8350173515647422E-3</v>
      </c>
      <c r="O237" s="41">
        <v>134.08999600000001</v>
      </c>
      <c r="P237" s="37">
        <f t="shared" si="31"/>
        <v>1.2382023685512181E-2</v>
      </c>
    </row>
    <row r="238" spans="2:16" x14ac:dyDescent="0.45">
      <c r="B238" s="39">
        <v>43290</v>
      </c>
      <c r="C238" s="41">
        <v>125.449997</v>
      </c>
      <c r="D238" s="37">
        <f t="shared" si="25"/>
        <v>-2.4039179774967105E-2</v>
      </c>
      <c r="E238" s="41">
        <v>110</v>
      </c>
      <c r="F238" s="37">
        <f t="shared" si="26"/>
        <v>4.9818677703938483E-2</v>
      </c>
      <c r="G238" s="41">
        <v>77.720000999999996</v>
      </c>
      <c r="H238" s="37">
        <f t="shared" si="27"/>
        <v>1.2110951789152764E-2</v>
      </c>
      <c r="I238" s="41">
        <v>105.279999</v>
      </c>
      <c r="J238" s="37">
        <f t="shared" si="28"/>
        <v>-1.6442469951023261E-2</v>
      </c>
      <c r="K238" s="41">
        <v>105.43</v>
      </c>
      <c r="L238" s="37">
        <f t="shared" si="29"/>
        <v>4.2210318615645823E-2</v>
      </c>
      <c r="M238" s="41">
        <v>83.309997999999993</v>
      </c>
      <c r="N238" s="37">
        <f t="shared" si="30"/>
        <v>1.1903267049598759E-2</v>
      </c>
      <c r="O238" s="41">
        <v>139.41999799999999</v>
      </c>
      <c r="P238" s="37">
        <f t="shared" si="31"/>
        <v>3.9749438131089054E-2</v>
      </c>
    </row>
    <row r="239" spans="2:16" x14ac:dyDescent="0.45">
      <c r="B239" s="39">
        <v>43297</v>
      </c>
      <c r="C239" s="41">
        <v>126.449997</v>
      </c>
      <c r="D239" s="37">
        <f t="shared" si="25"/>
        <v>7.9713034987159061E-3</v>
      </c>
      <c r="E239" s="41">
        <v>111.480003</v>
      </c>
      <c r="F239" s="37">
        <f t="shared" si="26"/>
        <v>1.3454572727272695E-2</v>
      </c>
      <c r="G239" s="41">
        <v>77.760002</v>
      </c>
      <c r="H239" s="37">
        <f t="shared" si="27"/>
        <v>5.1468089919355165E-4</v>
      </c>
      <c r="I239" s="41">
        <v>109.07</v>
      </c>
      <c r="J239" s="37">
        <f t="shared" si="28"/>
        <v>3.5999249961998853E-2</v>
      </c>
      <c r="K239" s="41">
        <v>106.269997</v>
      </c>
      <c r="L239" s="37">
        <f t="shared" si="29"/>
        <v>7.9673432609313928E-3</v>
      </c>
      <c r="M239" s="41">
        <v>81.400002000000001</v>
      </c>
      <c r="N239" s="37">
        <f t="shared" si="30"/>
        <v>-2.2926371934374464E-2</v>
      </c>
      <c r="O239" s="41">
        <v>140.990005</v>
      </c>
      <c r="P239" s="37">
        <f t="shared" si="31"/>
        <v>1.1260988541973757E-2</v>
      </c>
    </row>
    <row r="240" spans="2:16" x14ac:dyDescent="0.45">
      <c r="B240" s="39">
        <v>43304</v>
      </c>
      <c r="C240" s="41">
        <v>120</v>
      </c>
      <c r="D240" s="37">
        <f t="shared" si="25"/>
        <v>-5.1008281162711271E-2</v>
      </c>
      <c r="E240" s="41">
        <v>112.620003</v>
      </c>
      <c r="F240" s="37">
        <f t="shared" si="26"/>
        <v>1.0226049240418486E-2</v>
      </c>
      <c r="G240" s="41">
        <v>80.129997000000003</v>
      </c>
      <c r="H240" s="37">
        <f t="shared" si="27"/>
        <v>3.0478329977409246E-2</v>
      </c>
      <c r="I240" s="41">
        <v>104.19000200000001</v>
      </c>
      <c r="J240" s="37">
        <f t="shared" si="28"/>
        <v>-4.474189052901794E-2</v>
      </c>
      <c r="K240" s="41">
        <v>107.68</v>
      </c>
      <c r="L240" s="37">
        <f t="shared" si="29"/>
        <v>1.3268119316875517E-2</v>
      </c>
      <c r="M240" s="41">
        <v>81.919998000000007</v>
      </c>
      <c r="N240" s="37">
        <f t="shared" si="30"/>
        <v>6.3881570912001466E-3</v>
      </c>
      <c r="O240" s="41">
        <v>140.71000699999999</v>
      </c>
      <c r="P240" s="37">
        <f t="shared" si="31"/>
        <v>-1.9859421949804611E-3</v>
      </c>
    </row>
    <row r="241" spans="2:16" x14ac:dyDescent="0.45">
      <c r="B241" s="39">
        <v>43311</v>
      </c>
      <c r="C241" s="41">
        <v>126.08000199999999</v>
      </c>
      <c r="D241" s="37">
        <f t="shared" si="25"/>
        <v>5.0666683333333275E-2</v>
      </c>
      <c r="E241" s="41">
        <v>114.089996</v>
      </c>
      <c r="F241" s="37">
        <f t="shared" si="26"/>
        <v>1.3052681236387486E-2</v>
      </c>
      <c r="G241" s="41">
        <v>81.449996999999996</v>
      </c>
      <c r="H241" s="37">
        <f t="shared" si="27"/>
        <v>1.6473231616369498E-2</v>
      </c>
      <c r="I241" s="41">
        <v>107.300003</v>
      </c>
      <c r="J241" s="37">
        <f t="shared" si="28"/>
        <v>2.9849322778590568E-2</v>
      </c>
      <c r="K241" s="41">
        <v>108.040001</v>
      </c>
      <c r="L241" s="37">
        <f t="shared" si="29"/>
        <v>3.3432485141158702E-3</v>
      </c>
      <c r="M241" s="41">
        <v>80.199996999999996</v>
      </c>
      <c r="N241" s="37">
        <f t="shared" si="30"/>
        <v>-2.0996106469631633E-2</v>
      </c>
      <c r="O241" s="41">
        <v>139.820007</v>
      </c>
      <c r="P241" s="37">
        <f t="shared" si="31"/>
        <v>-6.325065423385178E-3</v>
      </c>
    </row>
    <row r="242" spans="2:16" x14ac:dyDescent="0.45">
      <c r="B242" s="39">
        <v>43318</v>
      </c>
      <c r="C242" s="41">
        <v>130.520004</v>
      </c>
      <c r="D242" s="37">
        <f t="shared" si="25"/>
        <v>3.5215751344927861E-2</v>
      </c>
      <c r="E242" s="41">
        <v>112.68</v>
      </c>
      <c r="F242" s="37">
        <f t="shared" si="26"/>
        <v>-1.235862958571751E-2</v>
      </c>
      <c r="G242" s="41">
        <v>82.709998999999996</v>
      </c>
      <c r="H242" s="37">
        <f t="shared" si="27"/>
        <v>1.5469638384394295E-2</v>
      </c>
      <c r="I242" s="41">
        <v>111.099998</v>
      </c>
      <c r="J242" s="37">
        <f t="shared" si="28"/>
        <v>3.5414677481416246E-2</v>
      </c>
      <c r="K242" s="41">
        <v>109</v>
      </c>
      <c r="L242" s="37">
        <f t="shared" si="29"/>
        <v>8.8855885886191012E-3</v>
      </c>
      <c r="M242" s="41">
        <v>79.419998000000007</v>
      </c>
      <c r="N242" s="37">
        <f t="shared" si="30"/>
        <v>-9.7256736805113528E-3</v>
      </c>
      <c r="O242" s="41">
        <v>139.729996</v>
      </c>
      <c r="P242" s="37">
        <f t="shared" si="31"/>
        <v>-6.4376337786912043E-4</v>
      </c>
    </row>
    <row r="243" spans="2:16" x14ac:dyDescent="0.45">
      <c r="B243" s="39">
        <v>43325</v>
      </c>
      <c r="C243" s="41">
        <v>130.19000199999999</v>
      </c>
      <c r="D243" s="37">
        <f t="shared" si="25"/>
        <v>-2.5283633917143264E-3</v>
      </c>
      <c r="E243" s="41">
        <v>112.480003</v>
      </c>
      <c r="F243" s="37">
        <f t="shared" si="26"/>
        <v>-1.7749112531062336E-3</v>
      </c>
      <c r="G243" s="41">
        <v>83.040001000000004</v>
      </c>
      <c r="H243" s="37">
        <f t="shared" si="27"/>
        <v>3.9898682624818736E-3</v>
      </c>
      <c r="I243" s="41">
        <v>116.93</v>
      </c>
      <c r="J243" s="37">
        <f t="shared" si="28"/>
        <v>5.2475266471201987E-2</v>
      </c>
      <c r="K243" s="41">
        <v>107.58000199999999</v>
      </c>
      <c r="L243" s="37">
        <f t="shared" si="29"/>
        <v>-1.3027504587156026E-2</v>
      </c>
      <c r="M243" s="41">
        <v>78.260002</v>
      </c>
      <c r="N243" s="37">
        <f t="shared" si="30"/>
        <v>-1.4605842724901688E-2</v>
      </c>
      <c r="O243" s="41">
        <v>141.33000200000001</v>
      </c>
      <c r="P243" s="37">
        <f t="shared" si="31"/>
        <v>1.1450698102073999E-2</v>
      </c>
    </row>
    <row r="244" spans="2:16" x14ac:dyDescent="0.45">
      <c r="B244" s="39">
        <v>43332</v>
      </c>
      <c r="C244" s="41">
        <v>138.759995</v>
      </c>
      <c r="D244" s="37">
        <f t="shared" si="25"/>
        <v>6.5826813644261337E-2</v>
      </c>
      <c r="E244" s="41">
        <v>111.93</v>
      </c>
      <c r="F244" s="37">
        <f t="shared" si="26"/>
        <v>-4.8897847202225772E-3</v>
      </c>
      <c r="G244" s="41">
        <v>87.309997999999993</v>
      </c>
      <c r="H244" s="37">
        <f t="shared" si="27"/>
        <v>5.1420965180383235E-2</v>
      </c>
      <c r="I244" s="41">
        <v>118.489998</v>
      </c>
      <c r="J244" s="37">
        <f t="shared" si="28"/>
        <v>1.3341298212605773E-2</v>
      </c>
      <c r="K244" s="41">
        <v>108.400002</v>
      </c>
      <c r="L244" s="37">
        <f t="shared" si="29"/>
        <v>7.6222344743961563E-3</v>
      </c>
      <c r="M244" s="41">
        <v>79.620002999999997</v>
      </c>
      <c r="N244" s="37">
        <f t="shared" si="30"/>
        <v>1.7377983200153727E-2</v>
      </c>
      <c r="O244" s="41">
        <v>144.199997</v>
      </c>
      <c r="P244" s="37">
        <f t="shared" si="31"/>
        <v>2.0307047048651345E-2</v>
      </c>
    </row>
    <row r="245" spans="2:16" x14ac:dyDescent="0.45">
      <c r="B245" s="39">
        <v>43339</v>
      </c>
      <c r="C245" s="41">
        <v>154.929993</v>
      </c>
      <c r="D245" s="37">
        <f t="shared" si="25"/>
        <v>0.11653213161329382</v>
      </c>
      <c r="E245" s="41">
        <v>112.019997</v>
      </c>
      <c r="F245" s="37">
        <f t="shared" si="26"/>
        <v>8.0404717233982645E-4</v>
      </c>
      <c r="G245" s="41">
        <v>87.5</v>
      </c>
      <c r="H245" s="37">
        <f t="shared" si="27"/>
        <v>2.1761768909902726E-3</v>
      </c>
      <c r="I245" s="41">
        <v>117.839996</v>
      </c>
      <c r="J245" s="37">
        <f t="shared" si="28"/>
        <v>-5.485711967013457E-3</v>
      </c>
      <c r="K245" s="41">
        <v>112.33000199999999</v>
      </c>
      <c r="L245" s="37">
        <f t="shared" si="29"/>
        <v>3.6254611877221114E-2</v>
      </c>
      <c r="M245" s="41">
        <v>80.169998000000007</v>
      </c>
      <c r="N245" s="37">
        <f t="shared" si="30"/>
        <v>6.9077490489420079E-3</v>
      </c>
      <c r="O245" s="41">
        <v>146.88999899999999</v>
      </c>
      <c r="P245" s="37">
        <f t="shared" si="31"/>
        <v>1.865466058227444E-2</v>
      </c>
    </row>
    <row r="246" spans="2:16" x14ac:dyDescent="0.45">
      <c r="B246" s="39">
        <v>43346</v>
      </c>
      <c r="C246" s="41">
        <v>150.820007</v>
      </c>
      <c r="D246" s="37">
        <f t="shared" si="25"/>
        <v>-2.652802030398331E-2</v>
      </c>
      <c r="E246" s="41">
        <v>110.970001</v>
      </c>
      <c r="F246" s="37">
        <f t="shared" si="26"/>
        <v>-9.3732907348676973E-3</v>
      </c>
      <c r="G246" s="41">
        <v>88.739998</v>
      </c>
      <c r="H246" s="37">
        <f t="shared" si="27"/>
        <v>1.4171405714285714E-2</v>
      </c>
      <c r="I246" s="41">
        <v>116.18</v>
      </c>
      <c r="J246" s="37">
        <f t="shared" si="28"/>
        <v>-1.4086864021957303E-2</v>
      </c>
      <c r="K246" s="41">
        <v>108.209999</v>
      </c>
      <c r="L246" s="37">
        <f t="shared" si="29"/>
        <v>-3.667767227494572E-2</v>
      </c>
      <c r="M246" s="41">
        <v>81.830001999999993</v>
      </c>
      <c r="N246" s="37">
        <f t="shared" si="30"/>
        <v>2.0706050161058833E-2</v>
      </c>
      <c r="O246" s="41">
        <v>143.199997</v>
      </c>
      <c r="P246" s="37">
        <f t="shared" si="31"/>
        <v>-2.5120852509502658E-2</v>
      </c>
    </row>
    <row r="247" spans="2:16" x14ac:dyDescent="0.45">
      <c r="B247" s="39">
        <v>43353</v>
      </c>
      <c r="C247" s="41">
        <v>153.71000699999999</v>
      </c>
      <c r="D247" s="37">
        <f t="shared" si="25"/>
        <v>1.9161913976041563E-2</v>
      </c>
      <c r="E247" s="41">
        <v>109.260002</v>
      </c>
      <c r="F247" s="37">
        <f t="shared" si="26"/>
        <v>-1.540956100378873E-2</v>
      </c>
      <c r="G247" s="41">
        <v>87.940002000000007</v>
      </c>
      <c r="H247" s="37">
        <f t="shared" si="27"/>
        <v>-9.0150554206682876E-3</v>
      </c>
      <c r="I247" s="41">
        <v>116.91999800000001</v>
      </c>
      <c r="J247" s="37">
        <f t="shared" si="28"/>
        <v>6.3694095369254593E-3</v>
      </c>
      <c r="K247" s="41">
        <v>113.370003</v>
      </c>
      <c r="L247" s="37">
        <f t="shared" si="29"/>
        <v>4.7685094239766149E-2</v>
      </c>
      <c r="M247" s="41">
        <v>82.919998000000007</v>
      </c>
      <c r="N247" s="37">
        <f t="shared" si="30"/>
        <v>1.3320248971764825E-2</v>
      </c>
      <c r="O247" s="41">
        <v>147.83999600000001</v>
      </c>
      <c r="P247" s="37">
        <f t="shared" si="31"/>
        <v>3.2402228332449039E-2</v>
      </c>
    </row>
    <row r="248" spans="2:16" x14ac:dyDescent="0.45">
      <c r="B248" s="39">
        <v>43360</v>
      </c>
      <c r="C248" s="41">
        <v>156.990005</v>
      </c>
      <c r="D248" s="37">
        <f t="shared" si="25"/>
        <v>2.1338870929854335E-2</v>
      </c>
      <c r="E248" s="41">
        <v>110.400002</v>
      </c>
      <c r="F248" s="37">
        <f t="shared" si="26"/>
        <v>1.0433827376279936E-2</v>
      </c>
      <c r="G248" s="41">
        <v>87.309997999999993</v>
      </c>
      <c r="H248" s="37">
        <f t="shared" si="27"/>
        <v>-7.1640207604272482E-3</v>
      </c>
      <c r="I248" s="41">
        <v>113.44000200000001</v>
      </c>
      <c r="J248" s="37">
        <f t="shared" si="28"/>
        <v>-2.9763907454052468E-2</v>
      </c>
      <c r="K248" s="41">
        <v>114.260002</v>
      </c>
      <c r="L248" s="37">
        <f t="shared" si="29"/>
        <v>7.8503923123297709E-3</v>
      </c>
      <c r="M248" s="41">
        <v>85.169998000000007</v>
      </c>
      <c r="N248" s="37">
        <f t="shared" si="30"/>
        <v>2.7134588208745491E-2</v>
      </c>
      <c r="O248" s="41">
        <v>150.050003</v>
      </c>
      <c r="P248" s="37">
        <f t="shared" si="31"/>
        <v>1.4948640826532423E-2</v>
      </c>
    </row>
    <row r="249" spans="2:16" x14ac:dyDescent="0.45">
      <c r="B249" s="39">
        <v>43367</v>
      </c>
      <c r="C249" s="41">
        <v>162.490005</v>
      </c>
      <c r="D249" s="37">
        <f t="shared" si="25"/>
        <v>3.5034077487926703E-2</v>
      </c>
      <c r="E249" s="41">
        <v>116.94000200000001</v>
      </c>
      <c r="F249" s="37">
        <f t="shared" si="26"/>
        <v>5.9239129361610035E-2</v>
      </c>
      <c r="G249" s="41">
        <v>88.209998999999996</v>
      </c>
      <c r="H249" s="37">
        <f t="shared" si="27"/>
        <v>1.0308109272892243E-2</v>
      </c>
      <c r="I249" s="41">
        <v>116.620003</v>
      </c>
      <c r="J249" s="37">
        <f t="shared" si="28"/>
        <v>2.8032448377425009E-2</v>
      </c>
      <c r="K249" s="41">
        <v>114.370003</v>
      </c>
      <c r="L249" s="37">
        <f t="shared" si="29"/>
        <v>9.6272534635520927E-4</v>
      </c>
      <c r="M249" s="41">
        <v>85.019997000000004</v>
      </c>
      <c r="N249" s="37">
        <f t="shared" si="30"/>
        <v>-1.761195297902944E-3</v>
      </c>
      <c r="O249" s="41">
        <v>150.08999600000001</v>
      </c>
      <c r="P249" s="37">
        <f t="shared" si="31"/>
        <v>2.6653115095245759E-4</v>
      </c>
    </row>
    <row r="250" spans="2:16" x14ac:dyDescent="0.45">
      <c r="B250" s="39">
        <v>43374</v>
      </c>
      <c r="C250" s="41">
        <v>153.83999600000001</v>
      </c>
      <c r="D250" s="37">
        <f t="shared" si="25"/>
        <v>-5.3234098921961279E-2</v>
      </c>
      <c r="E250" s="41">
        <v>114.779999</v>
      </c>
      <c r="F250" s="37">
        <f t="shared" si="26"/>
        <v>-1.8471036113031733E-2</v>
      </c>
      <c r="G250" s="41">
        <v>84.519997000000004</v>
      </c>
      <c r="H250" s="37">
        <f t="shared" si="27"/>
        <v>-4.1832014985058473E-2</v>
      </c>
      <c r="I250" s="41">
        <v>106.260002</v>
      </c>
      <c r="J250" s="37">
        <f t="shared" si="28"/>
        <v>-8.8835540503287388E-2</v>
      </c>
      <c r="K250" s="41">
        <v>112.129997</v>
      </c>
      <c r="L250" s="37">
        <f t="shared" si="29"/>
        <v>-1.9585607600272548E-2</v>
      </c>
      <c r="M250" s="41">
        <v>85.339995999999999</v>
      </c>
      <c r="N250" s="37">
        <f t="shared" si="30"/>
        <v>3.7638086484523834E-3</v>
      </c>
      <c r="O250" s="41">
        <v>145.36000100000001</v>
      </c>
      <c r="P250" s="37">
        <f t="shared" si="31"/>
        <v>-3.1514392205060769E-2</v>
      </c>
    </row>
    <row r="251" spans="2:16" x14ac:dyDescent="0.45">
      <c r="B251" s="39">
        <v>43381</v>
      </c>
      <c r="C251" s="41">
        <v>143.71000699999999</v>
      </c>
      <c r="D251" s="37">
        <f t="shared" si="25"/>
        <v>-6.5847564114601395E-2</v>
      </c>
      <c r="E251" s="41">
        <v>112.610001</v>
      </c>
      <c r="F251" s="37">
        <f t="shared" si="26"/>
        <v>-1.8905715446120595E-2</v>
      </c>
      <c r="G251" s="41">
        <v>84.610000999999997</v>
      </c>
      <c r="H251" s="37">
        <f t="shared" si="27"/>
        <v>1.0648840889096731E-3</v>
      </c>
      <c r="I251" s="41">
        <v>99.910004000000001</v>
      </c>
      <c r="J251" s="37">
        <f t="shared" si="28"/>
        <v>-5.9759061551683382E-2</v>
      </c>
      <c r="K251" s="41">
        <v>109.57</v>
      </c>
      <c r="L251" s="37">
        <f t="shared" si="29"/>
        <v>-2.2830616859822173E-2</v>
      </c>
      <c r="M251" s="41">
        <v>81.379997000000003</v>
      </c>
      <c r="N251" s="37">
        <f t="shared" si="30"/>
        <v>-4.6402615252055981E-2</v>
      </c>
      <c r="O251" s="41">
        <v>140.05999800000001</v>
      </c>
      <c r="P251" s="37">
        <f t="shared" si="31"/>
        <v>-3.6461220167437969E-2</v>
      </c>
    </row>
    <row r="252" spans="2:16" x14ac:dyDescent="0.45">
      <c r="B252" s="39">
        <v>43388</v>
      </c>
      <c r="C252" s="41">
        <v>136.770004</v>
      </c>
      <c r="D252" s="37">
        <f t="shared" si="25"/>
        <v>-4.8291717082721945E-2</v>
      </c>
      <c r="E252" s="41">
        <v>118.900002</v>
      </c>
      <c r="F252" s="37">
        <f t="shared" si="26"/>
        <v>5.585650425489299E-2</v>
      </c>
      <c r="G252" s="41">
        <v>82.019997000000004</v>
      </c>
      <c r="H252" s="37">
        <f t="shared" si="27"/>
        <v>-3.0611085798237885E-2</v>
      </c>
      <c r="I252" s="41">
        <v>98.160004000000001</v>
      </c>
      <c r="J252" s="37">
        <f t="shared" si="28"/>
        <v>-1.7515763486507317E-2</v>
      </c>
      <c r="K252" s="41">
        <v>108.660004</v>
      </c>
      <c r="L252" s="37">
        <f t="shared" si="29"/>
        <v>-8.3051565209454458E-3</v>
      </c>
      <c r="M252" s="41">
        <v>81.970000999999996</v>
      </c>
      <c r="N252" s="37">
        <f t="shared" si="30"/>
        <v>7.2499879792327013E-3</v>
      </c>
      <c r="O252" s="41">
        <v>140.08000200000001</v>
      </c>
      <c r="P252" s="37">
        <f t="shared" si="31"/>
        <v>1.428245058235695E-4</v>
      </c>
    </row>
    <row r="253" spans="2:16" x14ac:dyDescent="0.45">
      <c r="B253" s="39">
        <v>43395</v>
      </c>
      <c r="C253" s="41">
        <v>134.820007</v>
      </c>
      <c r="D253" s="37">
        <f t="shared" si="25"/>
        <v>-1.4257490260803064E-2</v>
      </c>
      <c r="E253" s="41">
        <v>113.19000200000001</v>
      </c>
      <c r="F253" s="37">
        <f t="shared" si="26"/>
        <v>-4.8023548393211914E-2</v>
      </c>
      <c r="G253" s="41">
        <v>81.940002000000007</v>
      </c>
      <c r="H253" s="37">
        <f t="shared" si="27"/>
        <v>-9.7531093545390776E-4</v>
      </c>
      <c r="I253" s="41">
        <v>98.870002999999997</v>
      </c>
      <c r="J253" s="37">
        <f t="shared" si="28"/>
        <v>7.2330783523602577E-3</v>
      </c>
      <c r="K253" s="41">
        <v>106.959999</v>
      </c>
      <c r="L253" s="37">
        <f t="shared" si="29"/>
        <v>-1.5645177042327409E-2</v>
      </c>
      <c r="M253" s="41">
        <v>77.529999000000004</v>
      </c>
      <c r="N253" s="37">
        <f t="shared" si="30"/>
        <v>-5.4166182088981468E-2</v>
      </c>
      <c r="O253" s="41">
        <v>137.740005</v>
      </c>
      <c r="P253" s="37">
        <f t="shared" si="31"/>
        <v>-1.6704718493650586E-2</v>
      </c>
    </row>
    <row r="254" spans="2:16" x14ac:dyDescent="0.45">
      <c r="B254" s="39">
        <v>43402</v>
      </c>
      <c r="C254" s="41">
        <v>142.020004</v>
      </c>
      <c r="D254" s="37">
        <f t="shared" si="25"/>
        <v>5.3404514361136295E-2</v>
      </c>
      <c r="E254" s="41">
        <v>115.18</v>
      </c>
      <c r="F254" s="37">
        <f t="shared" si="26"/>
        <v>1.7581040417332969E-2</v>
      </c>
      <c r="G254" s="41">
        <v>84.410004000000001</v>
      </c>
      <c r="H254" s="37">
        <f t="shared" si="27"/>
        <v>3.0144031482937889E-2</v>
      </c>
      <c r="I254" s="41">
        <v>95</v>
      </c>
      <c r="J254" s="37">
        <f t="shared" si="28"/>
        <v>-3.9142337236502331E-2</v>
      </c>
      <c r="K254" s="41">
        <v>106.160004</v>
      </c>
      <c r="L254" s="37">
        <f t="shared" si="29"/>
        <v>-7.4793848866808194E-3</v>
      </c>
      <c r="M254" s="41">
        <v>81.949996999999996</v>
      </c>
      <c r="N254" s="37">
        <f t="shared" si="30"/>
        <v>5.7010164542888646E-2</v>
      </c>
      <c r="O254" s="41">
        <v>139.779999</v>
      </c>
      <c r="P254" s="37">
        <f t="shared" si="31"/>
        <v>1.4810468461940358E-2</v>
      </c>
    </row>
    <row r="255" spans="2:16" x14ac:dyDescent="0.45">
      <c r="B255" s="39">
        <v>43409</v>
      </c>
      <c r="C255" s="41">
        <v>137.55999800000001</v>
      </c>
      <c r="D255" s="37">
        <f t="shared" si="25"/>
        <v>-3.1404068964819863E-2</v>
      </c>
      <c r="E255" s="41">
        <v>118</v>
      </c>
      <c r="F255" s="37">
        <f t="shared" si="26"/>
        <v>2.4483417259940903E-2</v>
      </c>
      <c r="G255" s="41">
        <v>86.940002000000007</v>
      </c>
      <c r="H255" s="37">
        <f t="shared" si="27"/>
        <v>2.997272692938157E-2</v>
      </c>
      <c r="I255" s="41">
        <v>101.41999800000001</v>
      </c>
      <c r="J255" s="37">
        <f t="shared" si="28"/>
        <v>6.7578926315789545E-2</v>
      </c>
      <c r="K255" s="41">
        <v>109.57</v>
      </c>
      <c r="L255" s="37">
        <f t="shared" si="29"/>
        <v>3.2121287410652247E-2</v>
      </c>
      <c r="M255" s="41">
        <v>80.870002999999997</v>
      </c>
      <c r="N255" s="37">
        <f t="shared" si="30"/>
        <v>-1.3178694808249954E-2</v>
      </c>
      <c r="O255" s="41">
        <v>143.929993</v>
      </c>
      <c r="P255" s="37">
        <f t="shared" si="31"/>
        <v>2.9689469378233378E-2</v>
      </c>
    </row>
    <row r="256" spans="2:16" x14ac:dyDescent="0.45">
      <c r="B256" s="39">
        <v>43416</v>
      </c>
      <c r="C256" s="41">
        <v>134.529999</v>
      </c>
      <c r="D256" s="37">
        <f t="shared" si="25"/>
        <v>-2.2026745013474073E-2</v>
      </c>
      <c r="E256" s="41">
        <v>116.19000200000001</v>
      </c>
      <c r="F256" s="37">
        <f t="shared" si="26"/>
        <v>-1.5338966101694856E-2</v>
      </c>
      <c r="G256" s="41">
        <v>79.680000000000007</v>
      </c>
      <c r="H256" s="37">
        <f t="shared" si="27"/>
        <v>-8.3505887197932199E-2</v>
      </c>
      <c r="I256" s="41">
        <v>90.68</v>
      </c>
      <c r="J256" s="37">
        <f t="shared" si="28"/>
        <v>-0.10589625529276779</v>
      </c>
      <c r="K256" s="41">
        <v>108.290001</v>
      </c>
      <c r="L256" s="37">
        <f t="shared" si="29"/>
        <v>-1.1682020626083686E-2</v>
      </c>
      <c r="M256" s="41">
        <v>78.959998999999996</v>
      </c>
      <c r="N256" s="37">
        <f t="shared" si="30"/>
        <v>-2.3618201176522781E-2</v>
      </c>
      <c r="O256" s="41">
        <v>140.179993</v>
      </c>
      <c r="P256" s="37">
        <f t="shared" si="31"/>
        <v>-2.6054333234074429E-2</v>
      </c>
    </row>
    <row r="257" spans="1:16" x14ac:dyDescent="0.45">
      <c r="B257" s="39">
        <v>43423</v>
      </c>
      <c r="C257" s="41">
        <v>120.860001</v>
      </c>
      <c r="D257" s="37">
        <f t="shared" si="25"/>
        <v>-0.10161300900626638</v>
      </c>
      <c r="E257" s="41">
        <v>112.08000199999999</v>
      </c>
      <c r="F257" s="37">
        <f t="shared" si="26"/>
        <v>-3.5373095182492667E-2</v>
      </c>
      <c r="G257" s="41">
        <v>67.349997999999999</v>
      </c>
      <c r="H257" s="37">
        <f t="shared" si="27"/>
        <v>-0.15474400100401614</v>
      </c>
      <c r="I257" s="41">
        <v>93.029999000000004</v>
      </c>
      <c r="J257" s="37">
        <f t="shared" si="28"/>
        <v>2.5915295544772791E-2</v>
      </c>
      <c r="K257" s="41">
        <v>103.07</v>
      </c>
      <c r="L257" s="37">
        <f t="shared" si="29"/>
        <v>-4.8203905732718669E-2</v>
      </c>
      <c r="M257" s="41">
        <v>75.489998</v>
      </c>
      <c r="N257" s="37">
        <f t="shared" si="30"/>
        <v>-4.3946315146229882E-2</v>
      </c>
      <c r="O257" s="41">
        <v>132.86999499999999</v>
      </c>
      <c r="P257" s="37">
        <f t="shared" si="31"/>
        <v>-5.2147227600446572E-2</v>
      </c>
    </row>
    <row r="258" spans="1:16" x14ac:dyDescent="0.45">
      <c r="B258" s="39">
        <v>43430</v>
      </c>
      <c r="C258" s="41">
        <v>132.550003</v>
      </c>
      <c r="D258" s="37">
        <f t="shared" si="25"/>
        <v>9.6723497462158775E-2</v>
      </c>
      <c r="E258" s="41">
        <v>115.489998</v>
      </c>
      <c r="F258" s="37">
        <f t="shared" si="26"/>
        <v>3.042466041355002E-2</v>
      </c>
      <c r="G258" s="41">
        <v>70.959998999999996</v>
      </c>
      <c r="H258" s="37">
        <f t="shared" si="27"/>
        <v>5.3600610351911174E-2</v>
      </c>
      <c r="I258" s="41">
        <v>87.269997000000004</v>
      </c>
      <c r="J258" s="37">
        <f t="shared" si="28"/>
        <v>-6.1915533289428497E-2</v>
      </c>
      <c r="K258" s="41">
        <v>110.889999</v>
      </c>
      <c r="L258" s="37">
        <f t="shared" si="29"/>
        <v>7.5870757737460076E-2</v>
      </c>
      <c r="M258" s="41">
        <v>79.5</v>
      </c>
      <c r="N258" s="37">
        <f t="shared" si="30"/>
        <v>5.3119646393420226E-2</v>
      </c>
      <c r="O258" s="41">
        <v>141.71000699999999</v>
      </c>
      <c r="P258" s="37">
        <f t="shared" si="31"/>
        <v>6.653128872323659E-2</v>
      </c>
    </row>
    <row r="259" spans="1:16" x14ac:dyDescent="0.45">
      <c r="B259" s="39">
        <v>43437</v>
      </c>
      <c r="C259" s="41">
        <v>113.870003</v>
      </c>
      <c r="D259" s="37">
        <f t="shared" si="25"/>
        <v>-0.14092794852671567</v>
      </c>
      <c r="E259" s="41">
        <v>111.980003</v>
      </c>
      <c r="F259" s="37">
        <f t="shared" si="26"/>
        <v>-3.0392198985058461E-2</v>
      </c>
      <c r="G259" s="41">
        <v>67.809997999999993</v>
      </c>
      <c r="H259" s="37">
        <f t="shared" si="27"/>
        <v>-4.4391221031443412E-2</v>
      </c>
      <c r="I259" s="41">
        <v>83.68</v>
      </c>
      <c r="J259" s="37">
        <f t="shared" si="28"/>
        <v>-4.1136669226652968E-2</v>
      </c>
      <c r="K259" s="41">
        <v>104.82</v>
      </c>
      <c r="L259" s="37">
        <f t="shared" si="29"/>
        <v>-5.4738921947325561E-2</v>
      </c>
      <c r="M259" s="41">
        <v>77.639999000000003</v>
      </c>
      <c r="N259" s="37">
        <f t="shared" si="30"/>
        <v>-2.3396238993710652E-2</v>
      </c>
      <c r="O259" s="41">
        <v>137.11000100000001</v>
      </c>
      <c r="P259" s="37">
        <f t="shared" si="31"/>
        <v>-3.2460699829052857E-2</v>
      </c>
    </row>
    <row r="260" spans="1:16" x14ac:dyDescent="0.45">
      <c r="B260" s="39">
        <v>43444</v>
      </c>
      <c r="C260" s="41">
        <v>119.120003</v>
      </c>
      <c r="D260" s="37">
        <f t="shared" ref="D260:D263" si="32">(C260-C259)/C259</f>
        <v>4.6105206478303157E-2</v>
      </c>
      <c r="E260" s="41">
        <v>112.199997</v>
      </c>
      <c r="F260" s="37">
        <f t="shared" ref="F260:F263" si="33">(E260-E259)/E259</f>
        <v>1.9645829086109225E-3</v>
      </c>
      <c r="G260" s="41">
        <v>67.169998000000007</v>
      </c>
      <c r="H260" s="37">
        <f t="shared" ref="H260:H263" si="34">(G260-G259)/G259</f>
        <v>-9.4381362465161319E-3</v>
      </c>
      <c r="I260" s="41">
        <v>78.889999000000003</v>
      </c>
      <c r="J260" s="37">
        <f t="shared" ref="J260:J263" si="35">(I260-I259)/I259</f>
        <v>-5.7241885755258168E-2</v>
      </c>
      <c r="K260" s="41">
        <v>106.029999</v>
      </c>
      <c r="L260" s="37">
        <f t="shared" ref="L260:L263" si="36">(K260-K259)/K259</f>
        <v>1.1543589009731068E-2</v>
      </c>
      <c r="M260" s="41">
        <v>75.580001999999993</v>
      </c>
      <c r="N260" s="37">
        <f t="shared" ref="N260:N263" si="37">(M260-M259)/M259</f>
        <v>-2.6532676797175251E-2</v>
      </c>
      <c r="O260" s="41">
        <v>135.08999600000001</v>
      </c>
      <c r="P260" s="37">
        <f t="shared" ref="P260:P263" si="38">(O260-O259)/O259</f>
        <v>-1.4732732734791516E-2</v>
      </c>
    </row>
    <row r="261" spans="1:16" x14ac:dyDescent="0.45">
      <c r="B261" s="39">
        <v>43451</v>
      </c>
      <c r="C261" s="41">
        <v>113.739998</v>
      </c>
      <c r="D261" s="37">
        <f t="shared" si="32"/>
        <v>-4.5164580796728131E-2</v>
      </c>
      <c r="E261" s="41">
        <v>104.220001</v>
      </c>
      <c r="F261" s="37">
        <f t="shared" si="33"/>
        <v>-7.1122960903465982E-2</v>
      </c>
      <c r="G261" s="41">
        <v>61.130001</v>
      </c>
      <c r="H261" s="37">
        <f t="shared" si="34"/>
        <v>-8.9921053741880502E-2</v>
      </c>
      <c r="I261" s="41">
        <v>75.459998999999996</v>
      </c>
      <c r="J261" s="37">
        <f t="shared" si="35"/>
        <v>-4.3478261420690431E-2</v>
      </c>
      <c r="K261" s="41">
        <v>98.230002999999996</v>
      </c>
      <c r="L261" s="37">
        <f t="shared" si="36"/>
        <v>-7.3564048604772753E-2</v>
      </c>
      <c r="M261" s="41">
        <v>68.120002999999997</v>
      </c>
      <c r="N261" s="37">
        <f t="shared" si="37"/>
        <v>-9.8703344834523782E-2</v>
      </c>
      <c r="O261" s="41">
        <v>124.260002</v>
      </c>
      <c r="P261" s="37">
        <f t="shared" si="38"/>
        <v>-8.0168734330260935E-2</v>
      </c>
    </row>
    <row r="262" spans="1:16" x14ac:dyDescent="0.45">
      <c r="B262" s="39">
        <v>43458</v>
      </c>
      <c r="C262" s="41">
        <v>121.400002</v>
      </c>
      <c r="D262" s="37">
        <f t="shared" si="32"/>
        <v>6.7346616271261067E-2</v>
      </c>
      <c r="E262" s="41">
        <v>107.300003</v>
      </c>
      <c r="F262" s="37">
        <f t="shared" si="33"/>
        <v>2.9552887837719435E-2</v>
      </c>
      <c r="G262" s="41">
        <v>64.959998999999996</v>
      </c>
      <c r="H262" s="37">
        <f t="shared" si="34"/>
        <v>6.265332794612577E-2</v>
      </c>
      <c r="I262" s="41">
        <v>71.540001000000004</v>
      </c>
      <c r="J262" s="37">
        <f t="shared" si="35"/>
        <v>-5.1948026132361769E-2</v>
      </c>
      <c r="K262" s="41">
        <v>100.389999</v>
      </c>
      <c r="L262" s="37">
        <f t="shared" si="36"/>
        <v>2.1989167606968379E-2</v>
      </c>
      <c r="M262" s="41">
        <v>68.169998000000007</v>
      </c>
      <c r="N262" s="37">
        <f t="shared" si="37"/>
        <v>7.3392539339743991E-4</v>
      </c>
      <c r="O262" s="41">
        <v>130.94000199999999</v>
      </c>
      <c r="P262" s="37">
        <f t="shared" si="38"/>
        <v>5.3758247967837569E-2</v>
      </c>
    </row>
    <row r="263" spans="1:16" ht="14.65" thickBot="1" x14ac:dyDescent="0.5">
      <c r="B263" s="40">
        <v>43465</v>
      </c>
      <c r="C263" s="42">
        <v>121.610001</v>
      </c>
      <c r="D263" s="38">
        <f t="shared" si="32"/>
        <v>1.7298105151595984E-3</v>
      </c>
      <c r="E263" s="42">
        <v>109.650002</v>
      </c>
      <c r="F263" s="38">
        <f t="shared" si="33"/>
        <v>2.1901201624383894E-2</v>
      </c>
      <c r="G263" s="42">
        <v>66.089995999999999</v>
      </c>
      <c r="H263" s="38">
        <f t="shared" si="34"/>
        <v>1.7395274282562767E-2</v>
      </c>
      <c r="I263" s="42">
        <v>71.769997000000004</v>
      </c>
      <c r="J263" s="38">
        <f t="shared" si="35"/>
        <v>3.2149286662716131E-3</v>
      </c>
      <c r="K263" s="42">
        <v>101.57</v>
      </c>
      <c r="L263" s="38">
        <f t="shared" si="36"/>
        <v>1.1754168858991523E-2</v>
      </c>
      <c r="M263" s="42">
        <v>68.190002000000007</v>
      </c>
      <c r="N263" s="38">
        <f t="shared" si="37"/>
        <v>2.9344287203881289E-4</v>
      </c>
      <c r="O263" s="42">
        <v>131.94000199999999</v>
      </c>
      <c r="P263" s="38">
        <f t="shared" si="38"/>
        <v>7.6370855714512674E-3</v>
      </c>
    </row>
    <row r="265" spans="1:16" s="7" customFormat="1" x14ac:dyDescent="0.45">
      <c r="A265" s="9"/>
      <c r="B265" s="10"/>
      <c r="C265" s="11"/>
      <c r="D265" s="10"/>
      <c r="E265" s="11"/>
      <c r="F265" s="10"/>
      <c r="G265" s="11"/>
      <c r="H265" s="10"/>
      <c r="I265" s="11"/>
      <c r="J265" s="10"/>
      <c r="K265" s="11"/>
      <c r="L265" s="10"/>
      <c r="M265" s="11"/>
      <c r="N265" s="10"/>
      <c r="O265" s="1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2019-03-31T08:08:21Z</dcterms:modified>
</cp:coreProperties>
</file>